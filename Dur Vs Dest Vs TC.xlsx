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 Hub\Travel Dataset\"/>
    </mc:Choice>
  </mc:AlternateContent>
  <xr:revisionPtr revIDLastSave="0" documentId="8_{69CE4DAF-E9E9-4112-8BCB-FD204D015BCB}" xr6:coauthVersionLast="47" xr6:coauthVersionMax="47" xr10:uidLastSave="{00000000-0000-0000-0000-000000000000}"/>
  <bookViews>
    <workbookView xWindow="-110" yWindow="-110" windowWidth="19420" windowHeight="10300" xr2:uid="{B7F42F3C-D119-40BC-B472-1C893BE2D045}"/>
  </bookViews>
  <sheets>
    <sheet name="Dur Vs Dest Vs TC" sheetId="9" r:id="rId1"/>
    <sheet name="Master Base" sheetId="1" r:id="rId2"/>
  </sheets>
  <definedNames>
    <definedName name="ExternalData_1" localSheetId="1" hidden="1">'Master Base'!$A$1:$P$138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AE5990-B67D-486D-AB65-5B6292D4358D}" keepAlive="1" name="Query - Travel details dataset" description="Connection to the 'Travel details dataset' query in the workbook." type="5" refreshedVersion="0" background="1">
    <dbPr connection="Provider=Microsoft.Mashup.OleDb.1;Data Source=$Workbook$;Location=&quot;Travel details dataset&quot;;Extended Properties=&quot;&quot;" command="SELECT * FROM [Travel details dataset]"/>
  </connection>
  <connection id="2" xr16:uid="{67ECA221-E59D-4103-8AC3-00A07CAF592B}" keepAlive="1" name="Query - Travel details dataset (2)" description="Connection to the 'Travel details dataset (2)' query in the workbook." type="5" refreshedVersion="7" background="1" saveData="1">
    <dbPr connection="Provider=Microsoft.Mashup.OleDb.1;Data Source=$Workbook$;Location=&quot;Travel details dataset (2)&quot;;Extended Properties=&quot;&quot;" command="SELECT * FROM [Travel details dataset (2)]"/>
  </connection>
</connections>
</file>

<file path=xl/sharedStrings.xml><?xml version="1.0" encoding="utf-8"?>
<sst xmlns="http://schemas.openxmlformats.org/spreadsheetml/2006/main" count="1309" uniqueCount="428">
  <si>
    <t>Trip ID</t>
  </si>
  <si>
    <t>Destination</t>
  </si>
  <si>
    <t>Start date</t>
  </si>
  <si>
    <t>End date</t>
  </si>
  <si>
    <t>Duration (days)</t>
  </si>
  <si>
    <t>London, UK</t>
  </si>
  <si>
    <t>John Smith</t>
  </si>
  <si>
    <t>Male</t>
  </si>
  <si>
    <t>American</t>
  </si>
  <si>
    <t>Hotel</t>
  </si>
  <si>
    <t>1200</t>
  </si>
  <si>
    <t>Flight</t>
  </si>
  <si>
    <t>600</t>
  </si>
  <si>
    <t>Phuket, Thailand</t>
  </si>
  <si>
    <t>Jane Doe</t>
  </si>
  <si>
    <t>Female</t>
  </si>
  <si>
    <t>Canadian</t>
  </si>
  <si>
    <t>Resort</t>
  </si>
  <si>
    <t>800</t>
  </si>
  <si>
    <t>500</t>
  </si>
  <si>
    <t>Bali, Indonesia</t>
  </si>
  <si>
    <t>David Lee</t>
  </si>
  <si>
    <t>Korean</t>
  </si>
  <si>
    <t>Villa</t>
  </si>
  <si>
    <t>1000</t>
  </si>
  <si>
    <t>700</t>
  </si>
  <si>
    <t>New York, USA</t>
  </si>
  <si>
    <t>Sarah Johnson</t>
  </si>
  <si>
    <t>British</t>
  </si>
  <si>
    <t>2000</t>
  </si>
  <si>
    <t>Tokyo, Japan</t>
  </si>
  <si>
    <t>Kim Nguyen</t>
  </si>
  <si>
    <t>Vietnamese</t>
  </si>
  <si>
    <t>Airbnb</t>
  </si>
  <si>
    <t>Train</t>
  </si>
  <si>
    <t>200</t>
  </si>
  <si>
    <t>Paris, France</t>
  </si>
  <si>
    <t>Michael Brown</t>
  </si>
  <si>
    <t>1500</t>
  </si>
  <si>
    <t>Sydney, Australia</t>
  </si>
  <si>
    <t>Emily Davis</t>
  </si>
  <si>
    <t>Australian</t>
  </si>
  <si>
    <t>Hostel</t>
  </si>
  <si>
    <t>Rio de Janeiro, Brazil</t>
  </si>
  <si>
    <t>Lucas Santos</t>
  </si>
  <si>
    <t>Brazilian</t>
  </si>
  <si>
    <t>900</t>
  </si>
  <si>
    <t>Amsterdam, Netherlands</t>
  </si>
  <si>
    <t>Laura Janssen</t>
  </si>
  <si>
    <t>Dutch</t>
  </si>
  <si>
    <t>Dubai, United Arab Emirates</t>
  </si>
  <si>
    <t>Mohammed Ali</t>
  </si>
  <si>
    <t>Emirati</t>
  </si>
  <si>
    <t>2500</t>
  </si>
  <si>
    <t>Cancun, Mexico</t>
  </si>
  <si>
    <t>Ana Hernandez</t>
  </si>
  <si>
    <t>Mexican</t>
  </si>
  <si>
    <t>Barcelona, Spain</t>
  </si>
  <si>
    <t>Carlos Garcia</t>
  </si>
  <si>
    <t>Spanish</t>
  </si>
  <si>
    <t>100</t>
  </si>
  <si>
    <t>Honolulu, Hawaii</t>
  </si>
  <si>
    <t>Lily Wong</t>
  </si>
  <si>
    <t>Chinese</t>
  </si>
  <si>
    <t>3000</t>
  </si>
  <si>
    <t>Berlin, Germany</t>
  </si>
  <si>
    <t>Hans Mueller</t>
  </si>
  <si>
    <t>German</t>
  </si>
  <si>
    <t>1400</t>
  </si>
  <si>
    <t>Marrakech, Morocco</t>
  </si>
  <si>
    <t>Fatima Khouri</t>
  </si>
  <si>
    <t>Moroccan</t>
  </si>
  <si>
    <t>Riad</t>
  </si>
  <si>
    <t>400</t>
  </si>
  <si>
    <t>Edinburgh, Scotland</t>
  </si>
  <si>
    <t>James MacKenzie</t>
  </si>
  <si>
    <t>Scottish</t>
  </si>
  <si>
    <t>150</t>
  </si>
  <si>
    <t>Paris</t>
  </si>
  <si>
    <t xml:space="preserve">$900 </t>
  </si>
  <si>
    <t>Plane</t>
  </si>
  <si>
    <t xml:space="preserve">$400 </t>
  </si>
  <si>
    <t>Bali</t>
  </si>
  <si>
    <t>Michael Chang</t>
  </si>
  <si>
    <t xml:space="preserve">$1,500 </t>
  </si>
  <si>
    <t xml:space="preserve">$700 </t>
  </si>
  <si>
    <t>London</t>
  </si>
  <si>
    <t>Olivia Rodriguez</t>
  </si>
  <si>
    <t xml:space="preserve">$1,200 </t>
  </si>
  <si>
    <t xml:space="preserve">$150 </t>
  </si>
  <si>
    <t>Tokyo</t>
  </si>
  <si>
    <t>Kenji Nakamura</t>
  </si>
  <si>
    <t>Japanese</t>
  </si>
  <si>
    <t xml:space="preserve">$800 </t>
  </si>
  <si>
    <t>New York</t>
  </si>
  <si>
    <t>Emily Lee</t>
  </si>
  <si>
    <t xml:space="preserve">$600 </t>
  </si>
  <si>
    <t>Bus</t>
  </si>
  <si>
    <t xml:space="preserve">$100 </t>
  </si>
  <si>
    <t>Sydney</t>
  </si>
  <si>
    <t>James Wilson</t>
  </si>
  <si>
    <t xml:space="preserve">$1,000 </t>
  </si>
  <si>
    <t>Rome</t>
  </si>
  <si>
    <t>Sofia Russo</t>
  </si>
  <si>
    <t>Italian</t>
  </si>
  <si>
    <t xml:space="preserve">$80 </t>
  </si>
  <si>
    <t>Bangkok</t>
  </si>
  <si>
    <t>Raj Patel</t>
  </si>
  <si>
    <t>Indian</t>
  </si>
  <si>
    <t xml:space="preserve">$500 </t>
  </si>
  <si>
    <t>Lily Nguyen</t>
  </si>
  <si>
    <t xml:space="preserve">$1,400 </t>
  </si>
  <si>
    <t>Hawaii</t>
  </si>
  <si>
    <t>David Kim</t>
  </si>
  <si>
    <t xml:space="preserve">$2,000 </t>
  </si>
  <si>
    <t>Barcelona</t>
  </si>
  <si>
    <t>Maria Garcia</t>
  </si>
  <si>
    <t xml:space="preserve">$1,100 </t>
  </si>
  <si>
    <t>Japan</t>
  </si>
  <si>
    <t>Alice Smith</t>
  </si>
  <si>
    <t>Thailand</t>
  </si>
  <si>
    <t>Bob Johnson</t>
  </si>
  <si>
    <t xml:space="preserve">$200 </t>
  </si>
  <si>
    <t>France</t>
  </si>
  <si>
    <t>Charlie Lee</t>
  </si>
  <si>
    <t>Car rental</t>
  </si>
  <si>
    <t xml:space="preserve">$300 </t>
  </si>
  <si>
    <t>Australia</t>
  </si>
  <si>
    <t>Emma Davis</t>
  </si>
  <si>
    <t>Brazil</t>
  </si>
  <si>
    <t>Olivia Martin</t>
  </si>
  <si>
    <t xml:space="preserve">$50 </t>
  </si>
  <si>
    <t>Greece</t>
  </si>
  <si>
    <t>Harry Wilson</t>
  </si>
  <si>
    <t>Egypt</t>
  </si>
  <si>
    <t>Sophia Lee</t>
  </si>
  <si>
    <t>Mexico</t>
  </si>
  <si>
    <t>James Brown</t>
  </si>
  <si>
    <t>Italy</t>
  </si>
  <si>
    <t>Mia Johnson</t>
  </si>
  <si>
    <t xml:space="preserve">$180 </t>
  </si>
  <si>
    <t xml:space="preserve">$120 </t>
  </si>
  <si>
    <t>Spain</t>
  </si>
  <si>
    <t>William Davis</t>
  </si>
  <si>
    <t>Canada</t>
  </si>
  <si>
    <t>Amelia Brown</t>
  </si>
  <si>
    <t xml:space="preserve">$350 </t>
  </si>
  <si>
    <t xml:space="preserve">$75 </t>
  </si>
  <si>
    <t>Adam Lee</t>
  </si>
  <si>
    <t>Sarah Wong</t>
  </si>
  <si>
    <t>2200</t>
  </si>
  <si>
    <t>Maria Silva</t>
  </si>
  <si>
    <t>Peter Brown</t>
  </si>
  <si>
    <t>Emma Garcia</t>
  </si>
  <si>
    <t>New York City, USA</t>
  </si>
  <si>
    <t>Michael Davis</t>
  </si>
  <si>
    <t>Bangkok, Thailand</t>
  </si>
  <si>
    <t>Nina Patel</t>
  </si>
  <si>
    <t>50</t>
  </si>
  <si>
    <t>Vancouver, Canada</t>
  </si>
  <si>
    <t>Kevin Kim</t>
  </si>
  <si>
    <t>Laura van den Berg</t>
  </si>
  <si>
    <t>1100</t>
  </si>
  <si>
    <t>Jennifer Nguyen</t>
  </si>
  <si>
    <t>Sydney, AUS</t>
  </si>
  <si>
    <t>Rachel Lee</t>
  </si>
  <si>
    <t>South Korean</t>
  </si>
  <si>
    <t>Jessica Wong</t>
  </si>
  <si>
    <t>Felipe Almeida</t>
  </si>
  <si>
    <t>Nisa Patel</t>
  </si>
  <si>
    <t>Ben Smith</t>
  </si>
  <si>
    <t>Laura Gomez</t>
  </si>
  <si>
    <t xml:space="preserve">$250 </t>
  </si>
  <si>
    <t>Seoul, South Korea</t>
  </si>
  <si>
    <t>Park Min Woo</t>
  </si>
  <si>
    <t>Subway</t>
  </si>
  <si>
    <t xml:space="preserve">$20 </t>
  </si>
  <si>
    <t>Los Angeles, USA</t>
  </si>
  <si>
    <t>Michael Chen</t>
  </si>
  <si>
    <t>Rome, Italy</t>
  </si>
  <si>
    <t>Sofia Rossi</t>
  </si>
  <si>
    <t>Rachel Sanders</t>
  </si>
  <si>
    <t>300</t>
  </si>
  <si>
    <t>Cape Town</t>
  </si>
  <si>
    <t>Emily Watson</t>
  </si>
  <si>
    <t>Vacation rental</t>
  </si>
  <si>
    <t>Ana Rodriguez</t>
  </si>
  <si>
    <t>Tom Wilson</t>
  </si>
  <si>
    <t>Olivia Green</t>
  </si>
  <si>
    <t>French</t>
  </si>
  <si>
    <t>James Chen</t>
  </si>
  <si>
    <t>Lila Patel</t>
  </si>
  <si>
    <t>Marco Rossi</t>
  </si>
  <si>
    <t>1300</t>
  </si>
  <si>
    <t>Sarah Brown</t>
  </si>
  <si>
    <t>1800</t>
  </si>
  <si>
    <t>Sarah Lee</t>
  </si>
  <si>
    <t>Alex Kim</t>
  </si>
  <si>
    <t>Maria Hernandez</t>
  </si>
  <si>
    <t>Cape Town, SA</t>
  </si>
  <si>
    <t>Mark Johnson</t>
  </si>
  <si>
    <t>South African</t>
  </si>
  <si>
    <t>Guesthouse</t>
  </si>
  <si>
    <t>Car</t>
  </si>
  <si>
    <t>Amanda Chen</t>
  </si>
  <si>
    <t>Taiwanese</t>
  </si>
  <si>
    <t>Sydney, Aus</t>
  </si>
  <si>
    <t>Bangkok, Thai</t>
  </si>
  <si>
    <t>Nana Kwon</t>
  </si>
  <si>
    <t>Tom Hanks</t>
  </si>
  <si>
    <t>Phuket, Thai</t>
  </si>
  <si>
    <t>Emma Watson</t>
  </si>
  <si>
    <t>James Kim</t>
  </si>
  <si>
    <t>Dubai</t>
  </si>
  <si>
    <t>Fatima Ahmed</t>
  </si>
  <si>
    <t>Liam Nguyen</t>
  </si>
  <si>
    <t>Giulia Rossi</t>
  </si>
  <si>
    <t>Putra Wijaya</t>
  </si>
  <si>
    <t>Indonesian</t>
  </si>
  <si>
    <t>Seoul</t>
  </si>
  <si>
    <t>Kim Min-ji</t>
  </si>
  <si>
    <t>USA</t>
  </si>
  <si>
    <t>Emily Johnson</t>
  </si>
  <si>
    <t>South Korea</t>
  </si>
  <si>
    <t>UK</t>
  </si>
  <si>
    <t>Michael Wong</t>
  </si>
  <si>
    <t>China</t>
  </si>
  <si>
    <t>Jessica Chen</t>
  </si>
  <si>
    <t>Taiwan</t>
  </si>
  <si>
    <t>Ken Tanaka</t>
  </si>
  <si>
    <t>Rio de Janeiro</t>
  </si>
  <si>
    <t>Rodrigo Oliveira</t>
  </si>
  <si>
    <t>Olivia Kim</t>
  </si>
  <si>
    <t>Amsterdam</t>
  </si>
  <si>
    <t>Robert Mueller</t>
  </si>
  <si>
    <t>Germany</t>
  </si>
  <si>
    <t>Hong Kong</t>
  </si>
  <si>
    <t>Lisa Chen</t>
  </si>
  <si>
    <t>Emily Wong</t>
  </si>
  <si>
    <t>United Kingdom</t>
  </si>
  <si>
    <t>Phuket</t>
  </si>
  <si>
    <t>Mark Tan</t>
  </si>
  <si>
    <t>Singapore</t>
  </si>
  <si>
    <t>Emma Lee</t>
  </si>
  <si>
    <t>250</t>
  </si>
  <si>
    <t>Santorini</t>
  </si>
  <si>
    <t>George Chen</t>
  </si>
  <si>
    <t>Ferry</t>
  </si>
  <si>
    <t>Sophia Kim</t>
  </si>
  <si>
    <t>United Arab Emirates</t>
  </si>
  <si>
    <t>Phnom Penh</t>
  </si>
  <si>
    <t>Alex Ng</t>
  </si>
  <si>
    <t>Cambodia</t>
  </si>
  <si>
    <t>Cindy Chen</t>
  </si>
  <si>
    <t>Emily Kim</t>
  </si>
  <si>
    <t>Frank Li</t>
  </si>
  <si>
    <t>Athens, Greece</t>
  </si>
  <si>
    <t>Gina Lee</t>
  </si>
  <si>
    <t>Henry Kim</t>
  </si>
  <si>
    <t>Isabella Chen</t>
  </si>
  <si>
    <t>Jack Smith</t>
  </si>
  <si>
    <t>Katie Johnson</t>
  </si>
  <si>
    <t>John Doe</t>
  </si>
  <si>
    <t>5000</t>
  </si>
  <si>
    <t>Airplane</t>
  </si>
  <si>
    <t>Jane Smith</t>
  </si>
  <si>
    <t>7000</t>
  </si>
  <si>
    <t>Cape Town, South Africa</t>
  </si>
  <si>
    <t>Michael Johnson</t>
  </si>
  <si>
    <t>6000</t>
  </si>
  <si>
    <t>4000</t>
  </si>
  <si>
    <t>8000</t>
  </si>
  <si>
    <t>Jose Perez</t>
  </si>
  <si>
    <t>Emma Wilson</t>
  </si>
  <si>
    <t>Ryan Chen</t>
  </si>
  <si>
    <t>Sofia Rodriguez</t>
  </si>
  <si>
    <t>Auckland, New Zealand</t>
  </si>
  <si>
    <t>William Brown</t>
  </si>
  <si>
    <t>New Zealander</t>
  </si>
  <si>
    <t>INT001</t>
  </si>
  <si>
    <t>INT002</t>
  </si>
  <si>
    <t>INT003</t>
  </si>
  <si>
    <t>INT004</t>
  </si>
  <si>
    <t>INT005</t>
  </si>
  <si>
    <t>INT006</t>
  </si>
  <si>
    <t>INT007</t>
  </si>
  <si>
    <t>INT008</t>
  </si>
  <si>
    <t>INT009</t>
  </si>
  <si>
    <t>INT010</t>
  </si>
  <si>
    <t>INT011</t>
  </si>
  <si>
    <t>INT012</t>
  </si>
  <si>
    <t>INT013</t>
  </si>
  <si>
    <t>INT014</t>
  </si>
  <si>
    <t>INT015</t>
  </si>
  <si>
    <t>INT016</t>
  </si>
  <si>
    <t>INT017</t>
  </si>
  <si>
    <t>INT018</t>
  </si>
  <si>
    <t>INT019</t>
  </si>
  <si>
    <t>INT020</t>
  </si>
  <si>
    <t>INT021</t>
  </si>
  <si>
    <t>INT022</t>
  </si>
  <si>
    <t>INT023</t>
  </si>
  <si>
    <t>INT024</t>
  </si>
  <si>
    <t>INT025</t>
  </si>
  <si>
    <t>INT026</t>
  </si>
  <si>
    <t>INT027</t>
  </si>
  <si>
    <t>INT028</t>
  </si>
  <si>
    <t>INT029</t>
  </si>
  <si>
    <t>INT030</t>
  </si>
  <si>
    <t>INT031</t>
  </si>
  <si>
    <t>INT032</t>
  </si>
  <si>
    <t>INT033</t>
  </si>
  <si>
    <t>INT034</t>
  </si>
  <si>
    <t>INT035</t>
  </si>
  <si>
    <t>INT036</t>
  </si>
  <si>
    <t>INT037</t>
  </si>
  <si>
    <t>INT038</t>
  </si>
  <si>
    <t>INT039</t>
  </si>
  <si>
    <t>INT040</t>
  </si>
  <si>
    <t>INT041</t>
  </si>
  <si>
    <t>INT042</t>
  </si>
  <si>
    <t>INT043</t>
  </si>
  <si>
    <t>INT044</t>
  </si>
  <si>
    <t>INT045</t>
  </si>
  <si>
    <t>INT046</t>
  </si>
  <si>
    <t>INT047</t>
  </si>
  <si>
    <t>INT048</t>
  </si>
  <si>
    <t>INT049</t>
  </si>
  <si>
    <t>INT050</t>
  </si>
  <si>
    <t>INT051</t>
  </si>
  <si>
    <t>INT052</t>
  </si>
  <si>
    <t>INT053</t>
  </si>
  <si>
    <t>INT054</t>
  </si>
  <si>
    <t>INT055</t>
  </si>
  <si>
    <t>INT056</t>
  </si>
  <si>
    <t>INT057</t>
  </si>
  <si>
    <t>INT058</t>
  </si>
  <si>
    <t>INT059</t>
  </si>
  <si>
    <t>INT060</t>
  </si>
  <si>
    <t>INT061</t>
  </si>
  <si>
    <t>INT062</t>
  </si>
  <si>
    <t>INT063</t>
  </si>
  <si>
    <t>INT064</t>
  </si>
  <si>
    <t>INT065</t>
  </si>
  <si>
    <t>INT066</t>
  </si>
  <si>
    <t>INT067</t>
  </si>
  <si>
    <t>INT068</t>
  </si>
  <si>
    <t>INT069</t>
  </si>
  <si>
    <t>INT070</t>
  </si>
  <si>
    <t>INT071</t>
  </si>
  <si>
    <t>INT073</t>
  </si>
  <si>
    <t>INT074</t>
  </si>
  <si>
    <t>INT075</t>
  </si>
  <si>
    <t>INT076</t>
  </si>
  <si>
    <t>INT077</t>
  </si>
  <si>
    <t>INT078</t>
  </si>
  <si>
    <t>INT079</t>
  </si>
  <si>
    <t>INT080</t>
  </si>
  <si>
    <t>INT081</t>
  </si>
  <si>
    <t>INT082</t>
  </si>
  <si>
    <t>INT083</t>
  </si>
  <si>
    <t>INT084</t>
  </si>
  <si>
    <t>INT085</t>
  </si>
  <si>
    <t>INT086</t>
  </si>
  <si>
    <t>INT087</t>
  </si>
  <si>
    <t>INT088</t>
  </si>
  <si>
    <t>INT089</t>
  </si>
  <si>
    <t>INT090</t>
  </si>
  <si>
    <t>INT091</t>
  </si>
  <si>
    <t>INT092</t>
  </si>
  <si>
    <t>INT093</t>
  </si>
  <si>
    <t>INT094</t>
  </si>
  <si>
    <t>INT095</t>
  </si>
  <si>
    <t>INT096</t>
  </si>
  <si>
    <t>INT097</t>
  </si>
  <si>
    <t>INT098</t>
  </si>
  <si>
    <t>INT099</t>
  </si>
  <si>
    <t>INT100</t>
  </si>
  <si>
    <t>INT101</t>
  </si>
  <si>
    <t>INT102</t>
  </si>
  <si>
    <t>INT103</t>
  </si>
  <si>
    <t>INT104</t>
  </si>
  <si>
    <t>INT105</t>
  </si>
  <si>
    <t>INT106</t>
  </si>
  <si>
    <t>INT107</t>
  </si>
  <si>
    <t>INT108</t>
  </si>
  <si>
    <t>INT109</t>
  </si>
  <si>
    <t>INT110</t>
  </si>
  <si>
    <t>INT111</t>
  </si>
  <si>
    <t>INT112</t>
  </si>
  <si>
    <t>INT113</t>
  </si>
  <si>
    <t>INT114</t>
  </si>
  <si>
    <t>INT115</t>
  </si>
  <si>
    <t>INT116</t>
  </si>
  <si>
    <t>INT117</t>
  </si>
  <si>
    <t>INT118</t>
  </si>
  <si>
    <t>INT119</t>
  </si>
  <si>
    <t>INT120</t>
  </si>
  <si>
    <t>INT121</t>
  </si>
  <si>
    <t>INT122</t>
  </si>
  <si>
    <t>INT123</t>
  </si>
  <si>
    <t>INT124</t>
  </si>
  <si>
    <t>INT125</t>
  </si>
  <si>
    <t>INT126</t>
  </si>
  <si>
    <t>INT127</t>
  </si>
  <si>
    <t>INT129</t>
  </si>
  <si>
    <t>INT130</t>
  </si>
  <si>
    <t>INT131</t>
  </si>
  <si>
    <t>INT132</t>
  </si>
  <si>
    <t>INT133</t>
  </si>
  <si>
    <t>INT134</t>
  </si>
  <si>
    <t>INT135</t>
  </si>
  <si>
    <t>INT136</t>
  </si>
  <si>
    <t>INT137</t>
  </si>
  <si>
    <t>INT138</t>
  </si>
  <si>
    <t>INT139</t>
  </si>
  <si>
    <t>Age</t>
  </si>
  <si>
    <t>Name</t>
  </si>
  <si>
    <t>Nationality</t>
  </si>
  <si>
    <t>Gender</t>
  </si>
  <si>
    <t>Accommodation Type</t>
  </si>
  <si>
    <t>Accommodation Cost</t>
  </si>
  <si>
    <t>Transportation Type</t>
  </si>
  <si>
    <t>Transportation Cost</t>
  </si>
  <si>
    <t>Month</t>
  </si>
  <si>
    <t>Age Group</t>
  </si>
  <si>
    <t>Trip Type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</si>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</sst>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</cellXfs>
  <cellStyles count="2">
    <cellStyle name="Currency" xfId="1" builtinId="4"/>
    <cellStyle name="Normal" xfId="0" builtinId="0"/>
  </cellStyles>
  <dxfs count="24"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</a:t>
            </a:r>
            <a:r>
              <a:rPr lang="en-US" baseline="0"/>
              <a:t> Vs Destination Vs Total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multiLvlStrRef>
              <c:f>'Dur Vs Dest Vs TC'!$A$2:$B$136</c:f>
              <c:multiLvlStrCache>
                <c:ptCount val="135"/>
                <c:lvl>
                  <c:pt idx="0">
                    <c:v>Dubai</c:v>
                  </c:pt>
                  <c:pt idx="1">
                    <c:v>London</c:v>
                  </c:pt>
                  <c:pt idx="3">
                    <c:v>New York</c:v>
                  </c:pt>
                  <c:pt idx="5">
                    <c:v>Paris</c:v>
                  </c:pt>
                  <c:pt idx="7">
                    <c:v>Paris, France</c:v>
                  </c:pt>
                  <c:pt idx="8">
                    <c:v>Phnom Penh</c:v>
                  </c:pt>
                  <c:pt idx="9">
                    <c:v>Phuket, Thailand</c:v>
                  </c:pt>
                  <c:pt idx="10">
                    <c:v>Bali</c:v>
                  </c:pt>
                  <c:pt idx="11">
                    <c:v>Bangkok, Thailand</c:v>
                  </c:pt>
                  <c:pt idx="12">
                    <c:v>Italy</c:v>
                  </c:pt>
                  <c:pt idx="13">
                    <c:v>London</c:v>
                  </c:pt>
                  <c:pt idx="14">
                    <c:v>New York</c:v>
                  </c:pt>
                  <c:pt idx="17">
                    <c:v>Paris</c:v>
                  </c:pt>
                  <c:pt idx="20">
                    <c:v>Paris, France</c:v>
                  </c:pt>
                  <c:pt idx="21">
                    <c:v>Rome</c:v>
                  </c:pt>
                  <c:pt idx="22">
                    <c:v>Sydney</c:v>
                  </c:pt>
                  <c:pt idx="23">
                    <c:v>Sydney, Australia</c:v>
                  </c:pt>
                  <c:pt idx="24">
                    <c:v>Vancouver, Canada</c:v>
                  </c:pt>
                  <c:pt idx="25">
                    <c:v>Amsterdam</c:v>
                  </c:pt>
                  <c:pt idx="26">
                    <c:v>Amsterdam, Netherlands</c:v>
                  </c:pt>
                  <c:pt idx="27">
                    <c:v>Auckland, New Zealand</c:v>
                  </c:pt>
                  <c:pt idx="28">
                    <c:v>Bali</c:v>
                  </c:pt>
                  <c:pt idx="29">
                    <c:v>Bali, Indonesia</c:v>
                  </c:pt>
                  <c:pt idx="31">
                    <c:v>Bangkok</c:v>
                  </c:pt>
                  <c:pt idx="32">
                    <c:v>Bangkok, Thai</c:v>
                  </c:pt>
                  <c:pt idx="33">
                    <c:v>Bangkok, Thailand</c:v>
                  </c:pt>
                  <c:pt idx="34">
                    <c:v>Barcelona</c:v>
                  </c:pt>
                  <c:pt idx="35">
                    <c:v>Barcelona, Spain</c:v>
                  </c:pt>
                  <c:pt idx="38">
                    <c:v>Canada</c:v>
                  </c:pt>
                  <c:pt idx="39">
                    <c:v>Cancun, Mexico</c:v>
                  </c:pt>
                  <c:pt idx="42">
                    <c:v>Dubai, United Arab Emirates</c:v>
                  </c:pt>
                  <c:pt idx="43">
                    <c:v>Edinburgh, Scotland</c:v>
                  </c:pt>
                  <c:pt idx="44">
                    <c:v>Egypt</c:v>
                  </c:pt>
                  <c:pt idx="45">
                    <c:v>London, UK</c:v>
                  </c:pt>
                  <c:pt idx="47">
                    <c:v>Los Angeles, USA</c:v>
                  </c:pt>
                  <c:pt idx="48">
                    <c:v>Marrakech, Morocco</c:v>
                  </c:pt>
                  <c:pt idx="49">
                    <c:v>New York City, USA</c:v>
                  </c:pt>
                  <c:pt idx="51">
                    <c:v>New York, USA</c:v>
                  </c:pt>
                  <c:pt idx="53">
                    <c:v>Paris, France</c:v>
                  </c:pt>
                  <c:pt idx="57">
                    <c:v>Phuket</c:v>
                  </c:pt>
                  <c:pt idx="58">
                    <c:v>Phuket, Thai</c:v>
                  </c:pt>
                  <c:pt idx="59">
                    <c:v>Rio de Janeiro</c:v>
                  </c:pt>
                  <c:pt idx="60">
                    <c:v>Rio de Janeiro, Brazil</c:v>
                  </c:pt>
                  <c:pt idx="62">
                    <c:v>Rome</c:v>
                  </c:pt>
                  <c:pt idx="65">
                    <c:v>Rome, Italy</c:v>
                  </c:pt>
                  <c:pt idx="68">
                    <c:v>Santorini</c:v>
                  </c:pt>
                  <c:pt idx="69">
                    <c:v>Sydney</c:v>
                  </c:pt>
                  <c:pt idx="70">
                    <c:v>Sydney, AUS</c:v>
                  </c:pt>
                  <c:pt idx="72">
                    <c:v>Sydney, Australia</c:v>
                  </c:pt>
                  <c:pt idx="73">
                    <c:v>Thailand</c:v>
                  </c:pt>
                  <c:pt idx="74">
                    <c:v>Tokyo</c:v>
                  </c:pt>
                  <c:pt idx="75">
                    <c:v>Tokyo, Japan</c:v>
                  </c:pt>
                  <c:pt idx="77">
                    <c:v>Vancouver, Canada</c:v>
                  </c:pt>
                  <c:pt idx="78">
                    <c:v>Amsterdam, Netherlands</c:v>
                  </c:pt>
                  <c:pt idx="79">
                    <c:v>Bali</c:v>
                  </c:pt>
                  <c:pt idx="81">
                    <c:v>Bali, Indonesia</c:v>
                  </c:pt>
                  <c:pt idx="82">
                    <c:v>Bangkok</c:v>
                  </c:pt>
                  <c:pt idx="85">
                    <c:v>Bangkok, Thailand</c:v>
                  </c:pt>
                  <c:pt idx="86">
                    <c:v>Barcelona</c:v>
                  </c:pt>
                  <c:pt idx="87">
                    <c:v>Barcelona, Spain</c:v>
                  </c:pt>
                  <c:pt idx="88">
                    <c:v>Cancun, Mexico</c:v>
                  </c:pt>
                  <c:pt idx="89">
                    <c:v>Cape Town</c:v>
                  </c:pt>
                  <c:pt idx="90">
                    <c:v>Dubai</c:v>
                  </c:pt>
                  <c:pt idx="91">
                    <c:v>Greece</c:v>
                  </c:pt>
                  <c:pt idx="92">
                    <c:v>Honolulu, Hawaii</c:v>
                  </c:pt>
                  <c:pt idx="93">
                    <c:v>Japan</c:v>
                  </c:pt>
                  <c:pt idx="94">
                    <c:v>London, UK</c:v>
                  </c:pt>
                  <c:pt idx="95">
                    <c:v>Paris, France</c:v>
                  </c:pt>
                  <c:pt idx="96">
                    <c:v>Rome, Italy</c:v>
                  </c:pt>
                  <c:pt idx="97">
                    <c:v>Seoul, South Korea</c:v>
                  </c:pt>
                  <c:pt idx="98">
                    <c:v>Spain</c:v>
                  </c:pt>
                  <c:pt idx="99">
                    <c:v>Tokyo, Japan</c:v>
                  </c:pt>
                  <c:pt idx="102">
                    <c:v>Berlin, Germany</c:v>
                  </c:pt>
                  <c:pt idx="103">
                    <c:v>Brazil</c:v>
                  </c:pt>
                  <c:pt idx="104">
                    <c:v>Cape Town</c:v>
                  </c:pt>
                  <c:pt idx="105">
                    <c:v>Cape Town, SA</c:v>
                  </c:pt>
                  <c:pt idx="106">
                    <c:v>Cape Town, South Africa</c:v>
                  </c:pt>
                  <c:pt idx="107">
                    <c:v>France</c:v>
                  </c:pt>
                  <c:pt idx="108">
                    <c:v>Hawaii</c:v>
                  </c:pt>
                  <c:pt idx="109">
                    <c:v>Paris</c:v>
                  </c:pt>
                  <c:pt idx="110">
                    <c:v>Rio de Janeiro, Brazil</c:v>
                  </c:pt>
                  <c:pt idx="112">
                    <c:v>Sydney</c:v>
                  </c:pt>
                  <c:pt idx="115">
                    <c:v>Tokyo</c:v>
                  </c:pt>
                  <c:pt idx="117">
                    <c:v>Tokyo, Japan</c:v>
                  </c:pt>
                  <c:pt idx="118">
                    <c:v>Athens, Greece</c:v>
                  </c:pt>
                  <c:pt idx="119">
                    <c:v>Bali</c:v>
                  </c:pt>
                  <c:pt idx="120">
                    <c:v>Bali, Indonesia</c:v>
                  </c:pt>
                  <c:pt idx="121">
                    <c:v>Mexico</c:v>
                  </c:pt>
                  <c:pt idx="122">
                    <c:v>Seoul</c:v>
                  </c:pt>
                  <c:pt idx="123">
                    <c:v>Sydney, AUS</c:v>
                  </c:pt>
                  <c:pt idx="124">
                    <c:v>Sydney, Australia</c:v>
                  </c:pt>
                  <c:pt idx="125">
                    <c:v>Tokyo</c:v>
                  </c:pt>
                  <c:pt idx="127">
                    <c:v>Tokyo, Japan</c:v>
                  </c:pt>
                  <c:pt idx="128">
                    <c:v>Bali</c:v>
                  </c:pt>
                  <c:pt idx="130">
                    <c:v>London</c:v>
                  </c:pt>
                  <c:pt idx="131">
                    <c:v>Rome</c:v>
                  </c:pt>
                  <c:pt idx="132">
                    <c:v>Sydney, AUS</c:v>
                  </c:pt>
                  <c:pt idx="133">
                    <c:v>Australia</c:v>
                  </c:pt>
                  <c:pt idx="134">
                    <c:v>New York, USA</c:v>
                  </c:pt>
                </c:lvl>
                <c:lvl>
                  <c:pt idx="0">
                    <c:v>5</c:v>
                  </c:pt>
                  <c:pt idx="10">
                    <c:v>6</c:v>
                  </c:pt>
                  <c:pt idx="25">
                    <c:v>7</c:v>
                  </c:pt>
                  <c:pt idx="78">
                    <c:v>8</c:v>
                  </c:pt>
                  <c:pt idx="102">
                    <c:v>9</c:v>
                  </c:pt>
                  <c:pt idx="118">
                    <c:v>10</c:v>
                  </c:pt>
                  <c:pt idx="128">
                    <c:v>11</c:v>
                  </c:pt>
                  <c:pt idx="133">
                    <c:v>13</c:v>
                  </c:pt>
                  <c:pt idx="134">
                    <c:v>14</c:v>
                  </c:pt>
                </c:lvl>
              </c:multiLvlStrCache>
            </c:multiLvlStrRef>
          </c:cat>
          <c:val>
            <c:numRef>
              <c:f>'Dur Vs Dest Vs TC'!$C$2:$C$136</c:f>
              <c:numCache>
                <c:formatCode>General</c:formatCode>
                <c:ptCount val="135"/>
                <c:pt idx="0">
                  <c:v>1800</c:v>
                </c:pt>
                <c:pt idx="1">
                  <c:v>1050</c:v>
                </c:pt>
                <c:pt idx="2">
                  <c:v>1300</c:v>
                </c:pt>
                <c:pt idx="3">
                  <c:v>700</c:v>
                </c:pt>
                <c:pt idx="4">
                  <c:v>1400</c:v>
                </c:pt>
                <c:pt idx="5">
                  <c:v>1300</c:v>
                </c:pt>
                <c:pt idx="6">
                  <c:v>1800</c:v>
                </c:pt>
                <c:pt idx="7">
                  <c:v>2300</c:v>
                </c:pt>
                <c:pt idx="8">
                  <c:v>700</c:v>
                </c:pt>
                <c:pt idx="9">
                  <c:v>1300</c:v>
                </c:pt>
                <c:pt idx="10">
                  <c:v>2200</c:v>
                </c:pt>
                <c:pt idx="11">
                  <c:v>550</c:v>
                </c:pt>
                <c:pt idx="12">
                  <c:v>300</c:v>
                </c:pt>
                <c:pt idx="13">
                  <c:v>1350</c:v>
                </c:pt>
                <c:pt idx="14">
                  <c:v>900</c:v>
                </c:pt>
                <c:pt idx="15">
                  <c:v>1100</c:v>
                </c:pt>
                <c:pt idx="16">
                  <c:v>1800</c:v>
                </c:pt>
                <c:pt idx="17">
                  <c:v>1300</c:v>
                </c:pt>
                <c:pt idx="18">
                  <c:v>1500</c:v>
                </c:pt>
                <c:pt idx="19">
                  <c:v>2000</c:v>
                </c:pt>
                <c:pt idx="20">
                  <c:v>7500</c:v>
                </c:pt>
                <c:pt idx="21">
                  <c:v>1400</c:v>
                </c:pt>
                <c:pt idx="22">
                  <c:v>2700</c:v>
                </c:pt>
                <c:pt idx="23">
                  <c:v>9000</c:v>
                </c:pt>
                <c:pt idx="24">
                  <c:v>8000</c:v>
                </c:pt>
                <c:pt idx="25">
                  <c:v>750</c:v>
                </c:pt>
                <c:pt idx="26">
                  <c:v>1400</c:v>
                </c:pt>
                <c:pt idx="27">
                  <c:v>9500</c:v>
                </c:pt>
                <c:pt idx="28">
                  <c:v>3200</c:v>
                </c:pt>
                <c:pt idx="29">
                  <c:v>1300</c:v>
                </c:pt>
                <c:pt idx="30">
                  <c:v>1700</c:v>
                </c:pt>
                <c:pt idx="31">
                  <c:v>500</c:v>
                </c:pt>
                <c:pt idx="32">
                  <c:v>800</c:v>
                </c:pt>
                <c:pt idx="33">
                  <c:v>3000</c:v>
                </c:pt>
                <c:pt idx="34">
                  <c:v>1600</c:v>
                </c:pt>
                <c:pt idx="35">
                  <c:v>900</c:v>
                </c:pt>
                <c:pt idx="36">
                  <c:v>1200</c:v>
                </c:pt>
                <c:pt idx="37">
                  <c:v>8500</c:v>
                </c:pt>
                <c:pt idx="38">
                  <c:v>425</c:v>
                </c:pt>
                <c:pt idx="39">
                  <c:v>1300</c:v>
                </c:pt>
                <c:pt idx="40">
                  <c:v>1500</c:v>
                </c:pt>
                <c:pt idx="41">
                  <c:v>3000</c:v>
                </c:pt>
                <c:pt idx="42">
                  <c:v>3300</c:v>
                </c:pt>
                <c:pt idx="43">
                  <c:v>1050</c:v>
                </c:pt>
                <c:pt idx="44">
                  <c:v>800</c:v>
                </c:pt>
                <c:pt idx="45">
                  <c:v>1000</c:v>
                </c:pt>
                <c:pt idx="46">
                  <c:v>1800</c:v>
                </c:pt>
                <c:pt idx="47">
                  <c:v>1500</c:v>
                </c:pt>
                <c:pt idx="48">
                  <c:v>1000</c:v>
                </c:pt>
                <c:pt idx="49">
                  <c:v>2000</c:v>
                </c:pt>
                <c:pt idx="50">
                  <c:v>10500</c:v>
                </c:pt>
                <c:pt idx="51">
                  <c:v>2200</c:v>
                </c:pt>
                <c:pt idx="52">
                  <c:v>2500</c:v>
                </c:pt>
                <c:pt idx="53">
                  <c:v>1500</c:v>
                </c:pt>
                <c:pt idx="54">
                  <c:v>1700</c:v>
                </c:pt>
                <c:pt idx="55">
                  <c:v>1900</c:v>
                </c:pt>
                <c:pt idx="56">
                  <c:v>2000</c:v>
                </c:pt>
                <c:pt idx="57">
                  <c:v>2700</c:v>
                </c:pt>
                <c:pt idx="58">
                  <c:v>1500</c:v>
                </c:pt>
                <c:pt idx="59">
                  <c:v>1300</c:v>
                </c:pt>
                <c:pt idx="60">
                  <c:v>1500</c:v>
                </c:pt>
                <c:pt idx="61">
                  <c:v>1900</c:v>
                </c:pt>
                <c:pt idx="62">
                  <c:v>780</c:v>
                </c:pt>
                <c:pt idx="63">
                  <c:v>1350</c:v>
                </c:pt>
                <c:pt idx="64">
                  <c:v>1600</c:v>
                </c:pt>
                <c:pt idx="65">
                  <c:v>900</c:v>
                </c:pt>
                <c:pt idx="66">
                  <c:v>1300</c:v>
                </c:pt>
                <c:pt idx="67">
                  <c:v>5500</c:v>
                </c:pt>
                <c:pt idx="68">
                  <c:v>1150</c:v>
                </c:pt>
                <c:pt idx="69">
                  <c:v>1600</c:v>
                </c:pt>
                <c:pt idx="70">
                  <c:v>1100</c:v>
                </c:pt>
                <c:pt idx="71">
                  <c:v>1500</c:v>
                </c:pt>
                <c:pt idx="72">
                  <c:v>950</c:v>
                </c:pt>
                <c:pt idx="73">
                  <c:v>350</c:v>
                </c:pt>
                <c:pt idx="74">
                  <c:v>700</c:v>
                </c:pt>
                <c:pt idx="75">
                  <c:v>900</c:v>
                </c:pt>
                <c:pt idx="76">
                  <c:v>8500</c:v>
                </c:pt>
                <c:pt idx="77">
                  <c:v>550</c:v>
                </c:pt>
                <c:pt idx="78">
                  <c:v>1800</c:v>
                </c:pt>
                <c:pt idx="79">
                  <c:v>2700</c:v>
                </c:pt>
                <c:pt idx="80">
                  <c:v>2800</c:v>
                </c:pt>
                <c:pt idx="81">
                  <c:v>1600</c:v>
                </c:pt>
                <c:pt idx="82">
                  <c:v>400</c:v>
                </c:pt>
                <c:pt idx="83">
                  <c:v>900</c:v>
                </c:pt>
                <c:pt idx="84">
                  <c:v>1000</c:v>
                </c:pt>
                <c:pt idx="85">
                  <c:v>450</c:v>
                </c:pt>
                <c:pt idx="86">
                  <c:v>1250</c:v>
                </c:pt>
                <c:pt idx="87">
                  <c:v>950</c:v>
                </c:pt>
                <c:pt idx="88">
                  <c:v>1900</c:v>
                </c:pt>
                <c:pt idx="89">
                  <c:v>2000</c:v>
                </c:pt>
                <c:pt idx="90">
                  <c:v>1800</c:v>
                </c:pt>
                <c:pt idx="91">
                  <c:v>1000</c:v>
                </c:pt>
                <c:pt idx="92">
                  <c:v>4200</c:v>
                </c:pt>
                <c:pt idx="93">
                  <c:v>1300</c:v>
                </c:pt>
                <c:pt idx="94">
                  <c:v>1200</c:v>
                </c:pt>
                <c:pt idx="95">
                  <c:v>1100</c:v>
                </c:pt>
                <c:pt idx="96">
                  <c:v>900</c:v>
                </c:pt>
                <c:pt idx="97">
                  <c:v>520</c:v>
                </c:pt>
                <c:pt idx="98">
                  <c:v>1300</c:v>
                </c:pt>
                <c:pt idx="99">
                  <c:v>1200</c:v>
                </c:pt>
                <c:pt idx="100">
                  <c:v>1400</c:v>
                </c:pt>
                <c:pt idx="101">
                  <c:v>1900</c:v>
                </c:pt>
                <c:pt idx="102">
                  <c:v>2100</c:v>
                </c:pt>
                <c:pt idx="103">
                  <c:v>200</c:v>
                </c:pt>
                <c:pt idx="104">
                  <c:v>1000</c:v>
                </c:pt>
                <c:pt idx="105">
                  <c:v>700</c:v>
                </c:pt>
                <c:pt idx="106">
                  <c:v>5000</c:v>
                </c:pt>
                <c:pt idx="107">
                  <c:v>900</c:v>
                </c:pt>
                <c:pt idx="108">
                  <c:v>2800</c:v>
                </c:pt>
                <c:pt idx="109">
                  <c:v>1300</c:v>
                </c:pt>
                <c:pt idx="110">
                  <c:v>950</c:v>
                </c:pt>
                <c:pt idx="111">
                  <c:v>4500</c:v>
                </c:pt>
                <c:pt idx="112">
                  <c:v>1200</c:v>
                </c:pt>
                <c:pt idx="113">
                  <c:v>1400</c:v>
                </c:pt>
                <c:pt idx="114">
                  <c:v>1500</c:v>
                </c:pt>
                <c:pt idx="115">
                  <c:v>600</c:v>
                </c:pt>
                <c:pt idx="116">
                  <c:v>1300</c:v>
                </c:pt>
                <c:pt idx="117">
                  <c:v>1700</c:v>
                </c:pt>
                <c:pt idx="118">
                  <c:v>1600</c:v>
                </c:pt>
                <c:pt idx="119">
                  <c:v>2200</c:v>
                </c:pt>
                <c:pt idx="120">
                  <c:v>1300</c:v>
                </c:pt>
                <c:pt idx="121">
                  <c:v>1300</c:v>
                </c:pt>
                <c:pt idx="122">
                  <c:v>950</c:v>
                </c:pt>
                <c:pt idx="123">
                  <c:v>1900</c:v>
                </c:pt>
                <c:pt idx="124">
                  <c:v>1700</c:v>
                </c:pt>
                <c:pt idx="125">
                  <c:v>800</c:v>
                </c:pt>
                <c:pt idx="126">
                  <c:v>2000</c:v>
                </c:pt>
                <c:pt idx="127">
                  <c:v>600</c:v>
                </c:pt>
                <c:pt idx="128">
                  <c:v>1800</c:v>
                </c:pt>
                <c:pt idx="129">
                  <c:v>1900</c:v>
                </c:pt>
                <c:pt idx="130">
                  <c:v>700</c:v>
                </c:pt>
                <c:pt idx="131">
                  <c:v>550</c:v>
                </c:pt>
                <c:pt idx="132">
                  <c:v>1800</c:v>
                </c:pt>
                <c:pt idx="133">
                  <c:v>1500</c:v>
                </c:pt>
                <c:pt idx="134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6-4FEF-942B-BD285DC02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457296"/>
        <c:axId val="550457712"/>
      </c:lineChart>
      <c:catAx>
        <c:axId val="55045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57712"/>
        <c:crosses val="autoZero"/>
        <c:auto val="1"/>
        <c:lblAlgn val="ctr"/>
        <c:lblOffset val="100"/>
        <c:noMultiLvlLbl val="0"/>
      </c:catAx>
      <c:valAx>
        <c:axId val="55045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5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190649</xdr:colOff>
      <xdr:row>0</xdr:row>
      <xdr:rowOff>6074</xdr:rowOff>
    </xdr:from>
    <xdr:to>
      <xdr:col>13</xdr:col>
      <xdr:colOff>21404</xdr:colOff>
      <xdr:row>21</xdr:row>
      <xdr:rowOff>28539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E09B0-58E1-4202-B224-60C989F55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630BF79-DA2B-4F7D-8C34-341D5DA54B38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Trip ID" tableColumnId="1"/>
      <queryTableField id="2" name="Destination" tableColumnId="2"/>
      <queryTableField id="3" name="Start date" tableColumnId="3"/>
      <queryTableField id="4" name="End date" tableColumnId="4"/>
      <queryTableField id="14" dataBound="0" tableColumnId="14"/>
      <queryTableField id="5" name="Duration (days)" tableColumnId="5"/>
      <queryTableField id="16" dataBound="0" tableColumnId="17"/>
      <queryTableField id="6" name="Traveler name" tableColumnId="6"/>
      <queryTableField id="7" name="Traveler age" tableColumnId="7"/>
      <queryTableField id="15" dataBound="0" tableColumnId="16"/>
      <queryTableField id="8" name="Traveler gender" tableColumnId="8"/>
      <queryTableField id="9" name="Traveler nationality" tableColumnId="9"/>
      <queryTableField id="10" name="Accommodation type" tableColumnId="10"/>
      <queryTableField id="11" name="Accommodation cost" tableColumnId="11"/>
      <queryTableField id="12" name="Transportation type" tableColumnId="12"/>
      <queryTableField id="13" name="Transportation cost" tableColumnId="13"/>
      <queryTableField id="17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041A6-F455-4F83-8030-C4991A9D346E}" name="Table1" displayName="Table1" ref="A1:C136" totalsRowShown="0" headerRowDxfId="1" dataDxfId="0">
  <autoFilter ref="A1:C136" xr:uid="{A50041A6-F455-4F83-8030-C4991A9D346E}"/>
  <tableColumns count="3">
    <tableColumn id="1" xr3:uid="{444F85D6-A508-4748-A925-066580C0B21D}" name="Duration (days)" dataDxfId="4"/>
    <tableColumn id="2" xr3:uid="{F4B4B3E7-3F2A-4F5F-ABBF-1BC6F91E0557}" name="Destination" dataDxfId="3"/>
    <tableColumn id="3" xr3:uid="{B9317A71-74CB-4162-8E54-C05BC897AABF}" name="Total Cost" dataDxfId="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FBC628-E76B-412C-889E-373F990D11D2}" name="Travel_details_dataset3" displayName="Travel_details_dataset3" ref="A1:Q138" tableType="queryTable" totalsRowShown="0" dataDxfId="23">
  <autoFilter ref="A1:Q138" xr:uid="{72FBC628-E76B-412C-889E-373F990D11D2}"/>
  <tableColumns count="17">
    <tableColumn id="1" xr3:uid="{D43B71C0-809D-4E68-B230-232A57781DE9}" uniqueName="1" name="Trip ID" queryTableFieldId="1" dataDxfId="22"/>
    <tableColumn id="2" xr3:uid="{B37383A2-74F4-4049-AFCA-B835270B334D}" uniqueName="2" name="Destination" queryTableFieldId="2" dataDxfId="21"/>
    <tableColumn id="3" xr3:uid="{C3F69936-EC19-4C47-88E0-6A782B563D94}" uniqueName="3" name="Start date" queryTableFieldId="3" dataDxfId="20"/>
    <tableColumn id="4" xr3:uid="{938F138E-C25A-4523-87F9-80BF28DAC0CD}" uniqueName="4" name="End date" queryTableFieldId="4" dataDxfId="19"/>
    <tableColumn id="14" xr3:uid="{2BF17AAD-97A6-4A50-89BE-40657BB2A48F}" uniqueName="14" name="Month" queryTableFieldId="14" dataDxfId="18">
      <calculatedColumnFormula>TEXT(Travel_details_dataset3[[#This Row],[Start date]],"mmm")</calculatedColumnFormula>
    </tableColumn>
    <tableColumn id="5" xr3:uid="{51F77B22-CB7F-4C1F-AD4A-4AB4DBD9812D}" uniqueName="5" name="Duration (days)" queryTableFieldId="5" dataDxfId="17"/>
    <tableColumn id="17" xr3:uid="{228388FB-4AB6-44D2-BAC2-871EDFBBB5AE}" uniqueName="17" name="Trip Type" queryTableFieldId="16" dataDxfId="16">
      <calculatedColumnFormula>IF(Travel_details_dataset3[[#This Row],[Duration (days)]] &lt;7,"Short","Long")</calculatedColumnFormula>
    </tableColumn>
    <tableColumn id="6" xr3:uid="{0B468128-12EC-4B31-9453-9F991441C9E0}" uniqueName="6" name="Name" queryTableFieldId="6" dataDxfId="15"/>
    <tableColumn id="7" xr3:uid="{E52CB404-112B-4E28-8374-553EC565E10A}" uniqueName="7" name="Age" queryTableFieldId="7" dataDxfId="14"/>
    <tableColumn id="16" xr3:uid="{5B8F3559-A1D0-4079-A8D5-0AF738C77A3A}" uniqueName="16" name="Age Group" queryTableFieldId="15" dataDxfId="13">
      <calculatedColumnFormula>IF(Travel_details_dataset3[[#This Row],[Age]]&lt;25,"Youth","Adult")</calculatedColumnFormula>
    </tableColumn>
    <tableColumn id="8" xr3:uid="{FA60771B-A562-4155-B78F-1965E2CB07A6}" uniqueName="8" name="Gender" queryTableFieldId="8" dataDxfId="12"/>
    <tableColumn id="9" xr3:uid="{F4CB7D52-BC51-4FBC-89D2-0DE90814E0A9}" uniqueName="9" name="Nationality" queryTableFieldId="9" dataDxfId="11"/>
    <tableColumn id="10" xr3:uid="{2ADA8E41-2BDD-46F9-8963-6894B0A78D90}" uniqueName="10" name="Accommodation Type" queryTableFieldId="10" dataDxfId="7"/>
    <tableColumn id="11" xr3:uid="{83461AFC-8DC2-4F3A-99EB-90403C21CFD5}" uniqueName="11" name="Accommodation Cost" queryTableFieldId="11" dataDxfId="8" dataCellStyle="Currency"/>
    <tableColumn id="12" xr3:uid="{3DB3DF49-3AC5-418F-AD31-75D87404295A}" uniqueName="12" name="Transportation Type" queryTableFieldId="12" dataDxfId="6"/>
    <tableColumn id="13" xr3:uid="{2DE9E44F-284B-40A9-B1CA-916F6F9ADFD2}" uniqueName="13" name="Transportation Cost" queryTableFieldId="13" dataDxfId="10"/>
    <tableColumn id="15" xr3:uid="{1600B090-E6E8-4A52-95F7-B765866E6926}" uniqueName="15" name="Total Cost" queryTableFieldId="17" dataDxfId="9">
      <calculatedColumnFormula>ABS(N2+P2)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577C-AC63-4DDE-9BF2-6BCD10FB3DFC}">
  <dimension ref="A1:C136"/>
  <sheetViews>
    <sheetView tabSelected="1" zoomScale="89" workbookViewId="0">
      <selection activeCell="O16" sqref="O16"/>
    </sheetView>
  </sheetViews>
  <sheetFormatPr defaultRowHeight="14.5" x14ac:dyDescent="0.35"/>
  <cols>
    <col min="1" max="1" width="15.81640625" customWidth="1"/>
    <col min="2" max="2" width="12.54296875" customWidth="1"/>
    <col min="3" max="3" width="11.26953125" customWidth="1"/>
    <col min="4" max="4" width="2.7265625" customWidth="1"/>
  </cols>
  <sheetData>
    <row r="1" spans="1:3" x14ac:dyDescent="0.35">
      <c r="A1" s="7" t="s">
        <v>4</v>
      </c>
      <c r="B1" s="7" t="s">
        <v>1</v>
      </c>
      <c r="C1" s="7" t="s">
        <v>427</v>
      </c>
    </row>
    <row r="2" spans="1:3" x14ac:dyDescent="0.35">
      <c r="A2" s="6">
        <v>5</v>
      </c>
      <c r="B2" s="6" t="s">
        <v>213</v>
      </c>
      <c r="C2" s="6">
        <v>1800</v>
      </c>
    </row>
    <row r="3" spans="1:3" x14ac:dyDescent="0.35">
      <c r="A3" s="6"/>
      <c r="B3" s="6" t="s">
        <v>86</v>
      </c>
      <c r="C3" s="6">
        <v>1050</v>
      </c>
    </row>
    <row r="4" spans="1:3" x14ac:dyDescent="0.35">
      <c r="A4" s="6"/>
      <c r="B4" s="6"/>
      <c r="C4" s="6">
        <v>1300</v>
      </c>
    </row>
    <row r="5" spans="1:3" x14ac:dyDescent="0.35">
      <c r="A5" s="6"/>
      <c r="B5" s="6" t="s">
        <v>94</v>
      </c>
      <c r="C5" s="6">
        <v>700</v>
      </c>
    </row>
    <row r="6" spans="1:3" x14ac:dyDescent="0.35">
      <c r="A6" s="6"/>
      <c r="B6" s="6"/>
      <c r="C6" s="6">
        <v>1400</v>
      </c>
    </row>
    <row r="7" spans="1:3" x14ac:dyDescent="0.35">
      <c r="A7" s="6"/>
      <c r="B7" s="6" t="s">
        <v>78</v>
      </c>
      <c r="C7" s="6">
        <v>1300</v>
      </c>
    </row>
    <row r="8" spans="1:3" x14ac:dyDescent="0.35">
      <c r="A8" s="6"/>
      <c r="B8" s="6"/>
      <c r="C8" s="6">
        <v>1800</v>
      </c>
    </row>
    <row r="9" spans="1:3" x14ac:dyDescent="0.35">
      <c r="A9" s="6"/>
      <c r="B9" s="6" t="s">
        <v>36</v>
      </c>
      <c r="C9" s="6">
        <v>2300</v>
      </c>
    </row>
    <row r="10" spans="1:3" x14ac:dyDescent="0.35">
      <c r="A10" s="6"/>
      <c r="B10" s="6" t="s">
        <v>250</v>
      </c>
      <c r="C10" s="6">
        <v>700</v>
      </c>
    </row>
    <row r="11" spans="1:3" x14ac:dyDescent="0.35">
      <c r="A11" s="6"/>
      <c r="B11" s="6" t="s">
        <v>13</v>
      </c>
      <c r="C11" s="6">
        <v>1300</v>
      </c>
    </row>
    <row r="12" spans="1:3" x14ac:dyDescent="0.35">
      <c r="A12" s="6">
        <v>6</v>
      </c>
      <c r="B12" s="6" t="s">
        <v>82</v>
      </c>
      <c r="C12" s="6">
        <v>2200</v>
      </c>
    </row>
    <row r="13" spans="1:3" x14ac:dyDescent="0.35">
      <c r="A13" s="6"/>
      <c r="B13" s="6" t="s">
        <v>156</v>
      </c>
      <c r="C13" s="6">
        <v>550</v>
      </c>
    </row>
    <row r="14" spans="1:3" x14ac:dyDescent="0.35">
      <c r="A14" s="6"/>
      <c r="B14" s="6" t="s">
        <v>138</v>
      </c>
      <c r="C14" s="6">
        <v>300</v>
      </c>
    </row>
    <row r="15" spans="1:3" x14ac:dyDescent="0.35">
      <c r="A15" s="6"/>
      <c r="B15" s="6" t="s">
        <v>86</v>
      </c>
      <c r="C15" s="6">
        <v>1350</v>
      </c>
    </row>
    <row r="16" spans="1:3" x14ac:dyDescent="0.35">
      <c r="A16" s="6"/>
      <c r="B16" s="6" t="s">
        <v>94</v>
      </c>
      <c r="C16" s="6">
        <v>900</v>
      </c>
    </row>
    <row r="17" spans="1:3" x14ac:dyDescent="0.35">
      <c r="A17" s="6"/>
      <c r="B17" s="6"/>
      <c r="C17" s="6">
        <v>1100</v>
      </c>
    </row>
    <row r="18" spans="1:3" x14ac:dyDescent="0.35">
      <c r="A18" s="6"/>
      <c r="B18" s="6"/>
      <c r="C18" s="6">
        <v>1800</v>
      </c>
    </row>
    <row r="19" spans="1:3" x14ac:dyDescent="0.35">
      <c r="A19" s="6"/>
      <c r="B19" s="6" t="s">
        <v>78</v>
      </c>
      <c r="C19" s="6">
        <v>1300</v>
      </c>
    </row>
    <row r="20" spans="1:3" x14ac:dyDescent="0.35">
      <c r="A20" s="6"/>
      <c r="B20" s="6"/>
      <c r="C20" s="6">
        <v>1500</v>
      </c>
    </row>
    <row r="21" spans="1:3" x14ac:dyDescent="0.35">
      <c r="A21" s="6"/>
      <c r="B21" s="6"/>
      <c r="C21" s="6">
        <v>2000</v>
      </c>
    </row>
    <row r="22" spans="1:3" x14ac:dyDescent="0.35">
      <c r="A22" s="6"/>
      <c r="B22" s="6" t="s">
        <v>36</v>
      </c>
      <c r="C22" s="6">
        <v>7500</v>
      </c>
    </row>
    <row r="23" spans="1:3" x14ac:dyDescent="0.35">
      <c r="A23" s="6"/>
      <c r="B23" s="6" t="s">
        <v>102</v>
      </c>
      <c r="C23" s="6">
        <v>1400</v>
      </c>
    </row>
    <row r="24" spans="1:3" x14ac:dyDescent="0.35">
      <c r="A24" s="6"/>
      <c r="B24" s="6" t="s">
        <v>99</v>
      </c>
      <c r="C24" s="6">
        <v>2700</v>
      </c>
    </row>
    <row r="25" spans="1:3" x14ac:dyDescent="0.35">
      <c r="A25" s="6"/>
      <c r="B25" s="6" t="s">
        <v>39</v>
      </c>
      <c r="C25" s="6">
        <v>9000</v>
      </c>
    </row>
    <row r="26" spans="1:3" x14ac:dyDescent="0.35">
      <c r="A26" s="6"/>
      <c r="B26" s="6" t="s">
        <v>159</v>
      </c>
      <c r="C26" s="6">
        <v>8000</v>
      </c>
    </row>
    <row r="27" spans="1:3" x14ac:dyDescent="0.35">
      <c r="A27" s="6">
        <v>7</v>
      </c>
      <c r="B27" s="6" t="s">
        <v>233</v>
      </c>
      <c r="C27" s="6">
        <v>750</v>
      </c>
    </row>
    <row r="28" spans="1:3" x14ac:dyDescent="0.35">
      <c r="A28" s="6"/>
      <c r="B28" s="6" t="s">
        <v>47</v>
      </c>
      <c r="C28" s="6">
        <v>1400</v>
      </c>
    </row>
    <row r="29" spans="1:3" x14ac:dyDescent="0.35">
      <c r="A29" s="6"/>
      <c r="B29" s="6" t="s">
        <v>276</v>
      </c>
      <c r="C29" s="6">
        <v>9500</v>
      </c>
    </row>
    <row r="30" spans="1:3" x14ac:dyDescent="0.35">
      <c r="A30" s="6"/>
      <c r="B30" s="6" t="s">
        <v>82</v>
      </c>
      <c r="C30" s="6">
        <v>3200</v>
      </c>
    </row>
    <row r="31" spans="1:3" x14ac:dyDescent="0.35">
      <c r="A31" s="6"/>
      <c r="B31" s="6" t="s">
        <v>20</v>
      </c>
      <c r="C31" s="6">
        <v>1300</v>
      </c>
    </row>
    <row r="32" spans="1:3" x14ac:dyDescent="0.35">
      <c r="A32" s="6"/>
      <c r="B32" s="6"/>
      <c r="C32" s="6">
        <v>1700</v>
      </c>
    </row>
    <row r="33" spans="1:3" x14ac:dyDescent="0.35">
      <c r="A33" s="6"/>
      <c r="B33" s="6" t="s">
        <v>106</v>
      </c>
      <c r="C33" s="6">
        <v>500</v>
      </c>
    </row>
    <row r="34" spans="1:3" x14ac:dyDescent="0.35">
      <c r="A34" s="6"/>
      <c r="B34" s="6" t="s">
        <v>207</v>
      </c>
      <c r="C34" s="6">
        <v>800</v>
      </c>
    </row>
    <row r="35" spans="1:3" x14ac:dyDescent="0.35">
      <c r="A35" s="6"/>
      <c r="B35" s="6" t="s">
        <v>156</v>
      </c>
      <c r="C35" s="6">
        <v>3000</v>
      </c>
    </row>
    <row r="36" spans="1:3" x14ac:dyDescent="0.35">
      <c r="A36" s="6"/>
      <c r="B36" s="6" t="s">
        <v>115</v>
      </c>
      <c r="C36" s="6">
        <v>1600</v>
      </c>
    </row>
    <row r="37" spans="1:3" x14ac:dyDescent="0.35">
      <c r="A37" s="6"/>
      <c r="B37" s="6" t="s">
        <v>57</v>
      </c>
      <c r="C37" s="6">
        <v>900</v>
      </c>
    </row>
    <row r="38" spans="1:3" x14ac:dyDescent="0.35">
      <c r="A38" s="6"/>
      <c r="B38" s="6"/>
      <c r="C38" s="6">
        <v>1200</v>
      </c>
    </row>
    <row r="39" spans="1:3" x14ac:dyDescent="0.35">
      <c r="A39" s="6"/>
      <c r="B39" s="6"/>
      <c r="C39" s="6">
        <v>8500</v>
      </c>
    </row>
    <row r="40" spans="1:3" x14ac:dyDescent="0.35">
      <c r="A40" s="6"/>
      <c r="B40" s="6" t="s">
        <v>144</v>
      </c>
      <c r="C40" s="6">
        <v>425</v>
      </c>
    </row>
    <row r="41" spans="1:3" x14ac:dyDescent="0.35">
      <c r="A41" s="6"/>
      <c r="B41" s="6" t="s">
        <v>54</v>
      </c>
      <c r="C41" s="6">
        <v>1300</v>
      </c>
    </row>
    <row r="42" spans="1:3" x14ac:dyDescent="0.35">
      <c r="A42" s="6"/>
      <c r="B42" s="6"/>
      <c r="C42" s="6">
        <v>1500</v>
      </c>
    </row>
    <row r="43" spans="1:3" x14ac:dyDescent="0.35">
      <c r="A43" s="6"/>
      <c r="B43" s="6"/>
      <c r="C43" s="6">
        <v>3000</v>
      </c>
    </row>
    <row r="44" spans="1:3" x14ac:dyDescent="0.35">
      <c r="A44" s="6"/>
      <c r="B44" s="6" t="s">
        <v>50</v>
      </c>
      <c r="C44" s="6">
        <v>3300</v>
      </c>
    </row>
    <row r="45" spans="1:3" x14ac:dyDescent="0.35">
      <c r="A45" s="6"/>
      <c r="B45" s="6" t="s">
        <v>74</v>
      </c>
      <c r="C45" s="6">
        <v>1050</v>
      </c>
    </row>
    <row r="46" spans="1:3" x14ac:dyDescent="0.35">
      <c r="A46" s="6"/>
      <c r="B46" s="6" t="s">
        <v>134</v>
      </c>
      <c r="C46" s="6">
        <v>800</v>
      </c>
    </row>
    <row r="47" spans="1:3" x14ac:dyDescent="0.35">
      <c r="A47" s="6"/>
      <c r="B47" s="6" t="s">
        <v>5</v>
      </c>
      <c r="C47" s="6">
        <v>1000</v>
      </c>
    </row>
    <row r="48" spans="1:3" x14ac:dyDescent="0.35">
      <c r="A48" s="6"/>
      <c r="B48" s="6"/>
      <c r="C48" s="6">
        <v>1800</v>
      </c>
    </row>
    <row r="49" spans="1:3" x14ac:dyDescent="0.35">
      <c r="A49" s="6"/>
      <c r="B49" s="6" t="s">
        <v>177</v>
      </c>
      <c r="C49" s="6">
        <v>1500</v>
      </c>
    </row>
    <row r="50" spans="1:3" x14ac:dyDescent="0.35">
      <c r="A50" s="6"/>
      <c r="B50" s="6" t="s">
        <v>69</v>
      </c>
      <c r="C50" s="6">
        <v>1000</v>
      </c>
    </row>
    <row r="51" spans="1:3" x14ac:dyDescent="0.35">
      <c r="A51" s="6"/>
      <c r="B51" s="6" t="s">
        <v>154</v>
      </c>
      <c r="C51" s="6">
        <v>2000</v>
      </c>
    </row>
    <row r="52" spans="1:3" x14ac:dyDescent="0.35">
      <c r="A52" s="6"/>
      <c r="B52" s="6"/>
      <c r="C52" s="6">
        <v>10500</v>
      </c>
    </row>
    <row r="53" spans="1:3" x14ac:dyDescent="0.35">
      <c r="A53" s="6"/>
      <c r="B53" s="6" t="s">
        <v>26</v>
      </c>
      <c r="C53" s="6">
        <v>2200</v>
      </c>
    </row>
    <row r="54" spans="1:3" x14ac:dyDescent="0.35">
      <c r="A54" s="6"/>
      <c r="B54" s="6"/>
      <c r="C54" s="6">
        <v>2500</v>
      </c>
    </row>
    <row r="55" spans="1:3" x14ac:dyDescent="0.35">
      <c r="A55" s="6"/>
      <c r="B55" s="6" t="s">
        <v>36</v>
      </c>
      <c r="C55" s="6">
        <v>1500</v>
      </c>
    </row>
    <row r="56" spans="1:3" x14ac:dyDescent="0.35">
      <c r="A56" s="6"/>
      <c r="B56" s="6"/>
      <c r="C56" s="6">
        <v>1700</v>
      </c>
    </row>
    <row r="57" spans="1:3" x14ac:dyDescent="0.35">
      <c r="A57" s="6"/>
      <c r="B57" s="6"/>
      <c r="C57" s="6">
        <v>1900</v>
      </c>
    </row>
    <row r="58" spans="1:3" x14ac:dyDescent="0.35">
      <c r="A58" s="6"/>
      <c r="B58" s="6"/>
      <c r="C58" s="6">
        <v>2000</v>
      </c>
    </row>
    <row r="59" spans="1:3" x14ac:dyDescent="0.35">
      <c r="A59" s="6"/>
      <c r="B59" s="6" t="s">
        <v>240</v>
      </c>
      <c r="C59" s="6">
        <v>2700</v>
      </c>
    </row>
    <row r="60" spans="1:3" x14ac:dyDescent="0.35">
      <c r="A60" s="6"/>
      <c r="B60" s="6" t="s">
        <v>210</v>
      </c>
      <c r="C60" s="6">
        <v>1500</v>
      </c>
    </row>
    <row r="61" spans="1:3" x14ac:dyDescent="0.35">
      <c r="A61" s="6"/>
      <c r="B61" s="6" t="s">
        <v>230</v>
      </c>
      <c r="C61" s="6">
        <v>1300</v>
      </c>
    </row>
    <row r="62" spans="1:3" x14ac:dyDescent="0.35">
      <c r="A62" s="6"/>
      <c r="B62" s="6" t="s">
        <v>43</v>
      </c>
      <c r="C62" s="6">
        <v>1500</v>
      </c>
    </row>
    <row r="63" spans="1:3" x14ac:dyDescent="0.35">
      <c r="A63" s="6"/>
      <c r="B63" s="6"/>
      <c r="C63" s="6">
        <v>1900</v>
      </c>
    </row>
    <row r="64" spans="1:3" x14ac:dyDescent="0.35">
      <c r="A64" s="6"/>
      <c r="B64" s="6" t="s">
        <v>102</v>
      </c>
      <c r="C64" s="6">
        <v>780</v>
      </c>
    </row>
    <row r="65" spans="1:3" x14ac:dyDescent="0.35">
      <c r="A65" s="6"/>
      <c r="B65" s="6"/>
      <c r="C65" s="6">
        <v>1350</v>
      </c>
    </row>
    <row r="66" spans="1:3" x14ac:dyDescent="0.35">
      <c r="A66" s="6"/>
      <c r="B66" s="6"/>
      <c r="C66" s="6">
        <v>1600</v>
      </c>
    </row>
    <row r="67" spans="1:3" x14ac:dyDescent="0.35">
      <c r="A67" s="6"/>
      <c r="B67" s="6" t="s">
        <v>179</v>
      </c>
      <c r="C67" s="6">
        <v>900</v>
      </c>
    </row>
    <row r="68" spans="1:3" x14ac:dyDescent="0.35">
      <c r="A68" s="6"/>
      <c r="B68" s="6"/>
      <c r="C68" s="6">
        <v>1300</v>
      </c>
    </row>
    <row r="69" spans="1:3" x14ac:dyDescent="0.35">
      <c r="A69" s="6"/>
      <c r="B69" s="6"/>
      <c r="C69" s="6">
        <v>5500</v>
      </c>
    </row>
    <row r="70" spans="1:3" x14ac:dyDescent="0.35">
      <c r="A70" s="6"/>
      <c r="B70" s="6" t="s">
        <v>245</v>
      </c>
      <c r="C70" s="6">
        <v>1150</v>
      </c>
    </row>
    <row r="71" spans="1:3" x14ac:dyDescent="0.35">
      <c r="A71" s="6"/>
      <c r="B71" s="6" t="s">
        <v>99</v>
      </c>
      <c r="C71" s="6">
        <v>1600</v>
      </c>
    </row>
    <row r="72" spans="1:3" x14ac:dyDescent="0.35">
      <c r="A72" s="6"/>
      <c r="B72" s="6" t="s">
        <v>164</v>
      </c>
      <c r="C72" s="6">
        <v>1100</v>
      </c>
    </row>
    <row r="73" spans="1:3" x14ac:dyDescent="0.35">
      <c r="A73" s="6"/>
      <c r="B73" s="6"/>
      <c r="C73" s="6">
        <v>1500</v>
      </c>
    </row>
    <row r="74" spans="1:3" x14ac:dyDescent="0.35">
      <c r="A74" s="6"/>
      <c r="B74" s="6" t="s">
        <v>39</v>
      </c>
      <c r="C74" s="6">
        <v>950</v>
      </c>
    </row>
    <row r="75" spans="1:3" x14ac:dyDescent="0.35">
      <c r="A75" s="6"/>
      <c r="B75" s="6" t="s">
        <v>120</v>
      </c>
      <c r="C75" s="6">
        <v>350</v>
      </c>
    </row>
    <row r="76" spans="1:3" x14ac:dyDescent="0.35">
      <c r="A76" s="6"/>
      <c r="B76" s="6" t="s">
        <v>90</v>
      </c>
      <c r="C76" s="6">
        <v>700</v>
      </c>
    </row>
    <row r="77" spans="1:3" x14ac:dyDescent="0.35">
      <c r="A77" s="6"/>
      <c r="B77" s="6" t="s">
        <v>30</v>
      </c>
      <c r="C77" s="6">
        <v>900</v>
      </c>
    </row>
    <row r="78" spans="1:3" x14ac:dyDescent="0.35">
      <c r="A78" s="6"/>
      <c r="B78" s="6"/>
      <c r="C78" s="6">
        <v>8500</v>
      </c>
    </row>
    <row r="79" spans="1:3" x14ac:dyDescent="0.35">
      <c r="A79" s="6"/>
      <c r="B79" s="6" t="s">
        <v>159</v>
      </c>
      <c r="C79" s="6">
        <v>550</v>
      </c>
    </row>
    <row r="80" spans="1:3" x14ac:dyDescent="0.35">
      <c r="A80" s="6">
        <v>8</v>
      </c>
      <c r="B80" s="6" t="s">
        <v>47</v>
      </c>
      <c r="C80" s="6">
        <v>1800</v>
      </c>
    </row>
    <row r="81" spans="1:3" x14ac:dyDescent="0.35">
      <c r="A81" s="6"/>
      <c r="B81" s="6" t="s">
        <v>82</v>
      </c>
      <c r="C81" s="6">
        <v>2700</v>
      </c>
    </row>
    <row r="82" spans="1:3" x14ac:dyDescent="0.35">
      <c r="A82" s="6"/>
      <c r="B82" s="6"/>
      <c r="C82" s="6">
        <v>2800</v>
      </c>
    </row>
    <row r="83" spans="1:3" x14ac:dyDescent="0.35">
      <c r="A83" s="6"/>
      <c r="B83" s="6" t="s">
        <v>20</v>
      </c>
      <c r="C83" s="6">
        <v>1600</v>
      </c>
    </row>
    <row r="84" spans="1:3" x14ac:dyDescent="0.35">
      <c r="A84" s="6"/>
      <c r="B84" s="6" t="s">
        <v>106</v>
      </c>
      <c r="C84" s="6">
        <v>400</v>
      </c>
    </row>
    <row r="85" spans="1:3" x14ac:dyDescent="0.35">
      <c r="A85" s="6"/>
      <c r="B85" s="6"/>
      <c r="C85" s="6">
        <v>900</v>
      </c>
    </row>
    <row r="86" spans="1:3" x14ac:dyDescent="0.35">
      <c r="A86" s="6"/>
      <c r="B86" s="6"/>
      <c r="C86" s="6">
        <v>1000</v>
      </c>
    </row>
    <row r="87" spans="1:3" x14ac:dyDescent="0.35">
      <c r="A87" s="6"/>
      <c r="B87" s="6" t="s">
        <v>156</v>
      </c>
      <c r="C87" s="6">
        <v>450</v>
      </c>
    </row>
    <row r="88" spans="1:3" x14ac:dyDescent="0.35">
      <c r="A88" s="6"/>
      <c r="B88" s="6" t="s">
        <v>115</v>
      </c>
      <c r="C88" s="6">
        <v>1250</v>
      </c>
    </row>
    <row r="89" spans="1:3" x14ac:dyDescent="0.35">
      <c r="A89" s="6"/>
      <c r="B89" s="6" t="s">
        <v>57</v>
      </c>
      <c r="C89" s="6">
        <v>950</v>
      </c>
    </row>
    <row r="90" spans="1:3" x14ac:dyDescent="0.35">
      <c r="A90" s="6"/>
      <c r="B90" s="6" t="s">
        <v>54</v>
      </c>
      <c r="C90" s="6">
        <v>1900</v>
      </c>
    </row>
    <row r="91" spans="1:3" x14ac:dyDescent="0.35">
      <c r="A91" s="6"/>
      <c r="B91" s="6" t="s">
        <v>183</v>
      </c>
      <c r="C91" s="6">
        <v>2000</v>
      </c>
    </row>
    <row r="92" spans="1:3" x14ac:dyDescent="0.35">
      <c r="A92" s="6"/>
      <c r="B92" s="6" t="s">
        <v>213</v>
      </c>
      <c r="C92" s="6">
        <v>1800</v>
      </c>
    </row>
    <row r="93" spans="1:3" x14ac:dyDescent="0.35">
      <c r="A93" s="6"/>
      <c r="B93" s="6" t="s">
        <v>132</v>
      </c>
      <c r="C93" s="6">
        <v>1000</v>
      </c>
    </row>
    <row r="94" spans="1:3" x14ac:dyDescent="0.35">
      <c r="A94" s="6"/>
      <c r="B94" s="6" t="s">
        <v>61</v>
      </c>
      <c r="C94" s="6">
        <v>4200</v>
      </c>
    </row>
    <row r="95" spans="1:3" x14ac:dyDescent="0.35">
      <c r="A95" s="6"/>
      <c r="B95" s="6" t="s">
        <v>118</v>
      </c>
      <c r="C95" s="6">
        <v>1300</v>
      </c>
    </row>
    <row r="96" spans="1:3" x14ac:dyDescent="0.35">
      <c r="A96" s="6"/>
      <c r="B96" s="6" t="s">
        <v>5</v>
      </c>
      <c r="C96" s="6">
        <v>1200</v>
      </c>
    </row>
    <row r="97" spans="1:3" x14ac:dyDescent="0.35">
      <c r="A97" s="6"/>
      <c r="B97" s="6" t="s">
        <v>36</v>
      </c>
      <c r="C97" s="6">
        <v>1100</v>
      </c>
    </row>
    <row r="98" spans="1:3" x14ac:dyDescent="0.35">
      <c r="A98" s="6"/>
      <c r="B98" s="6" t="s">
        <v>179</v>
      </c>
      <c r="C98" s="6">
        <v>900</v>
      </c>
    </row>
    <row r="99" spans="1:3" x14ac:dyDescent="0.35">
      <c r="A99" s="6"/>
      <c r="B99" s="6" t="s">
        <v>173</v>
      </c>
      <c r="C99" s="6">
        <v>520</v>
      </c>
    </row>
    <row r="100" spans="1:3" x14ac:dyDescent="0.35">
      <c r="A100" s="6"/>
      <c r="B100" s="6" t="s">
        <v>142</v>
      </c>
      <c r="C100" s="6">
        <v>1300</v>
      </c>
    </row>
    <row r="101" spans="1:3" x14ac:dyDescent="0.35">
      <c r="A101" s="6"/>
      <c r="B101" s="6" t="s">
        <v>30</v>
      </c>
      <c r="C101" s="6">
        <v>1200</v>
      </c>
    </row>
    <row r="102" spans="1:3" x14ac:dyDescent="0.35">
      <c r="A102" s="6"/>
      <c r="B102" s="6"/>
      <c r="C102" s="6">
        <v>1400</v>
      </c>
    </row>
    <row r="103" spans="1:3" x14ac:dyDescent="0.35">
      <c r="A103" s="6"/>
      <c r="B103" s="6"/>
      <c r="C103" s="6">
        <v>1900</v>
      </c>
    </row>
    <row r="104" spans="1:3" x14ac:dyDescent="0.35">
      <c r="A104" s="6">
        <v>9</v>
      </c>
      <c r="B104" s="6" t="s">
        <v>65</v>
      </c>
      <c r="C104" s="6">
        <v>2100</v>
      </c>
    </row>
    <row r="105" spans="1:3" x14ac:dyDescent="0.35">
      <c r="A105" s="6"/>
      <c r="B105" s="6" t="s">
        <v>129</v>
      </c>
      <c r="C105" s="6">
        <v>200</v>
      </c>
    </row>
    <row r="106" spans="1:3" x14ac:dyDescent="0.35">
      <c r="A106" s="6"/>
      <c r="B106" s="6" t="s">
        <v>183</v>
      </c>
      <c r="C106" s="6">
        <v>1000</v>
      </c>
    </row>
    <row r="107" spans="1:3" x14ac:dyDescent="0.35">
      <c r="A107" s="6"/>
      <c r="B107" s="6" t="s">
        <v>199</v>
      </c>
      <c r="C107" s="6">
        <v>700</v>
      </c>
    </row>
    <row r="108" spans="1:3" x14ac:dyDescent="0.35">
      <c r="A108" s="6"/>
      <c r="B108" s="6" t="s">
        <v>267</v>
      </c>
      <c r="C108" s="6">
        <v>5000</v>
      </c>
    </row>
    <row r="109" spans="1:3" x14ac:dyDescent="0.35">
      <c r="A109" s="6"/>
      <c r="B109" s="6" t="s">
        <v>123</v>
      </c>
      <c r="C109" s="6">
        <v>900</v>
      </c>
    </row>
    <row r="110" spans="1:3" x14ac:dyDescent="0.35">
      <c r="A110" s="6"/>
      <c r="B110" s="6" t="s">
        <v>112</v>
      </c>
      <c r="C110" s="6">
        <v>2800</v>
      </c>
    </row>
    <row r="111" spans="1:3" x14ac:dyDescent="0.35">
      <c r="A111" s="6"/>
      <c r="B111" s="6" t="s">
        <v>78</v>
      </c>
      <c r="C111" s="6">
        <v>1300</v>
      </c>
    </row>
    <row r="112" spans="1:3" x14ac:dyDescent="0.35">
      <c r="A112" s="6"/>
      <c r="B112" s="6" t="s">
        <v>43</v>
      </c>
      <c r="C112" s="6">
        <v>950</v>
      </c>
    </row>
    <row r="113" spans="1:3" x14ac:dyDescent="0.35">
      <c r="A113" s="6"/>
      <c r="B113" s="6"/>
      <c r="C113" s="6">
        <v>4500</v>
      </c>
    </row>
    <row r="114" spans="1:3" x14ac:dyDescent="0.35">
      <c r="A114" s="6"/>
      <c r="B114" s="6" t="s">
        <v>99</v>
      </c>
      <c r="C114" s="6">
        <v>1200</v>
      </c>
    </row>
    <row r="115" spans="1:3" x14ac:dyDescent="0.35">
      <c r="A115" s="6"/>
      <c r="B115" s="6"/>
      <c r="C115" s="6">
        <v>1400</v>
      </c>
    </row>
    <row r="116" spans="1:3" x14ac:dyDescent="0.35">
      <c r="A116" s="6"/>
      <c r="B116" s="6"/>
      <c r="C116" s="6">
        <v>1500</v>
      </c>
    </row>
    <row r="117" spans="1:3" x14ac:dyDescent="0.35">
      <c r="A117" s="6"/>
      <c r="B117" s="6" t="s">
        <v>90</v>
      </c>
      <c r="C117" s="6">
        <v>600</v>
      </c>
    </row>
    <row r="118" spans="1:3" x14ac:dyDescent="0.35">
      <c r="A118" s="6"/>
      <c r="B118" s="6"/>
      <c r="C118" s="6">
        <v>1300</v>
      </c>
    </row>
    <row r="119" spans="1:3" x14ac:dyDescent="0.35">
      <c r="A119" s="6"/>
      <c r="B119" s="6" t="s">
        <v>30</v>
      </c>
      <c r="C119" s="6">
        <v>1700</v>
      </c>
    </row>
    <row r="120" spans="1:3" x14ac:dyDescent="0.35">
      <c r="A120" s="6">
        <v>10</v>
      </c>
      <c r="B120" s="6" t="s">
        <v>256</v>
      </c>
      <c r="C120" s="6">
        <v>1600</v>
      </c>
    </row>
    <row r="121" spans="1:3" x14ac:dyDescent="0.35">
      <c r="A121" s="6"/>
      <c r="B121" s="6" t="s">
        <v>82</v>
      </c>
      <c r="C121" s="6">
        <v>2200</v>
      </c>
    </row>
    <row r="122" spans="1:3" x14ac:dyDescent="0.35">
      <c r="A122" s="6"/>
      <c r="B122" s="6" t="s">
        <v>20</v>
      </c>
      <c r="C122" s="6">
        <v>1300</v>
      </c>
    </row>
    <row r="123" spans="1:3" x14ac:dyDescent="0.35">
      <c r="A123" s="6"/>
      <c r="B123" s="6" t="s">
        <v>136</v>
      </c>
      <c r="C123" s="6">
        <v>1300</v>
      </c>
    </row>
    <row r="124" spans="1:3" x14ac:dyDescent="0.35">
      <c r="A124" s="6"/>
      <c r="B124" s="6" t="s">
        <v>219</v>
      </c>
      <c r="C124" s="6">
        <v>950</v>
      </c>
    </row>
    <row r="125" spans="1:3" x14ac:dyDescent="0.35">
      <c r="A125" s="6"/>
      <c r="B125" s="6" t="s">
        <v>164</v>
      </c>
      <c r="C125" s="6">
        <v>1900</v>
      </c>
    </row>
    <row r="126" spans="1:3" x14ac:dyDescent="0.35">
      <c r="A126" s="6"/>
      <c r="B126" s="6" t="s">
        <v>39</v>
      </c>
      <c r="C126" s="6">
        <v>1700</v>
      </c>
    </row>
    <row r="127" spans="1:3" x14ac:dyDescent="0.35">
      <c r="A127" s="6"/>
      <c r="B127" s="6" t="s">
        <v>90</v>
      </c>
      <c r="C127" s="6">
        <v>800</v>
      </c>
    </row>
    <row r="128" spans="1:3" x14ac:dyDescent="0.35">
      <c r="A128" s="6"/>
      <c r="B128" s="6"/>
      <c r="C128" s="6">
        <v>2000</v>
      </c>
    </row>
    <row r="129" spans="1:3" x14ac:dyDescent="0.35">
      <c r="A129" s="6"/>
      <c r="B129" s="6" t="s">
        <v>30</v>
      </c>
      <c r="C129" s="6">
        <v>600</v>
      </c>
    </row>
    <row r="130" spans="1:3" x14ac:dyDescent="0.35">
      <c r="A130" s="6">
        <v>11</v>
      </c>
      <c r="B130" s="6" t="s">
        <v>82</v>
      </c>
      <c r="C130" s="6">
        <v>1800</v>
      </c>
    </row>
    <row r="131" spans="1:3" x14ac:dyDescent="0.35">
      <c r="A131" s="6"/>
      <c r="B131" s="6"/>
      <c r="C131" s="6">
        <v>1900</v>
      </c>
    </row>
    <row r="132" spans="1:3" x14ac:dyDescent="0.35">
      <c r="A132" s="6"/>
      <c r="B132" s="6" t="s">
        <v>86</v>
      </c>
      <c r="C132" s="6">
        <v>700</v>
      </c>
    </row>
    <row r="133" spans="1:3" x14ac:dyDescent="0.35">
      <c r="A133" s="6"/>
      <c r="B133" s="6" t="s">
        <v>102</v>
      </c>
      <c r="C133" s="6">
        <v>550</v>
      </c>
    </row>
    <row r="134" spans="1:3" x14ac:dyDescent="0.35">
      <c r="A134" s="6"/>
      <c r="B134" s="6" t="s">
        <v>164</v>
      </c>
      <c r="C134" s="6">
        <v>1800</v>
      </c>
    </row>
    <row r="135" spans="1:3" x14ac:dyDescent="0.35">
      <c r="A135" s="6">
        <v>13</v>
      </c>
      <c r="B135" s="6" t="s">
        <v>127</v>
      </c>
      <c r="C135" s="6">
        <v>1500</v>
      </c>
    </row>
    <row r="136" spans="1:3" x14ac:dyDescent="0.35">
      <c r="A136" s="6">
        <v>14</v>
      </c>
      <c r="B136" s="6" t="s">
        <v>26</v>
      </c>
      <c r="C136" s="6">
        <v>3000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96B0-83CB-498C-BD36-B0C49D0BA3FA}">
  <dimension ref="A1:Q138"/>
  <sheetViews>
    <sheetView workbookViewId="0">
      <selection activeCell="B13" sqref="A2:Q138"/>
    </sheetView>
  </sheetViews>
  <sheetFormatPr defaultRowHeight="14.5" x14ac:dyDescent="0.35"/>
  <cols>
    <col min="1" max="1" width="8.6328125" bestFit="1" customWidth="1"/>
    <col min="2" max="2" width="24.6328125" bestFit="1" customWidth="1"/>
    <col min="3" max="4" width="10.453125" bestFit="1" customWidth="1"/>
    <col min="5" max="5" width="10.453125" customWidth="1"/>
    <col min="6" max="6" width="16.1796875" bestFit="1" customWidth="1"/>
    <col min="7" max="7" width="16.1796875" customWidth="1"/>
    <col min="8" max="8" width="16.81640625" bestFit="1" customWidth="1"/>
    <col min="9" max="9" width="13.26953125" bestFit="1" customWidth="1"/>
    <col min="10" max="10" width="16.26953125" bestFit="1" customWidth="1"/>
    <col min="11" max="11" width="18.7265625" bestFit="1" customWidth="1"/>
    <col min="12" max="12" width="21.1796875" bestFit="1" customWidth="1"/>
    <col min="13" max="13" width="20.90625" bestFit="1" customWidth="1"/>
    <col min="14" max="14" width="20.08984375" bestFit="1" customWidth="1"/>
    <col min="15" max="15" width="19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424</v>
      </c>
      <c r="F1" t="s">
        <v>4</v>
      </c>
      <c r="G1" t="s">
        <v>426</v>
      </c>
      <c r="H1" t="s">
        <v>417</v>
      </c>
      <c r="I1" t="s">
        <v>416</v>
      </c>
      <c r="J1" t="s">
        <v>425</v>
      </c>
      <c r="K1" t="s">
        <v>419</v>
      </c>
      <c r="L1" t="s">
        <v>418</v>
      </c>
      <c r="M1" t="s">
        <v>420</v>
      </c>
      <c r="N1" t="s">
        <v>421</v>
      </c>
      <c r="O1" t="s">
        <v>422</v>
      </c>
      <c r="P1" t="s">
        <v>423</v>
      </c>
      <c r="Q1" t="s">
        <v>427</v>
      </c>
    </row>
    <row r="2" spans="1:17" x14ac:dyDescent="0.35">
      <c r="A2" s="1" t="s">
        <v>279</v>
      </c>
      <c r="B2" s="2" t="s">
        <v>5</v>
      </c>
      <c r="C2" s="3">
        <v>45047</v>
      </c>
      <c r="D2" s="3">
        <v>45054</v>
      </c>
      <c r="E2" s="3" t="str">
        <f>TEXT(Travel_details_dataset3[[#This Row],[Start date]],"mmm")</f>
        <v>May</v>
      </c>
      <c r="F2" s="1">
        <v>7</v>
      </c>
      <c r="G2" s="1" t="str">
        <f>IF(Travel_details_dataset3[[#This Row],[Duration (days)]] &lt;7,"Short","Long")</f>
        <v>Long</v>
      </c>
      <c r="H2" s="2" t="s">
        <v>6</v>
      </c>
      <c r="I2" s="1">
        <v>35</v>
      </c>
      <c r="J2" s="1" t="str">
        <f>IF(Travel_details_dataset3[[#This Row],[Age]]&lt;25,"Youth","Adult")</f>
        <v>Adult</v>
      </c>
      <c r="K2" s="2" t="s">
        <v>7</v>
      </c>
      <c r="L2" s="2" t="s">
        <v>8</v>
      </c>
      <c r="M2" s="2" t="s">
        <v>9</v>
      </c>
      <c r="N2" s="5" t="s">
        <v>10</v>
      </c>
      <c r="O2" s="2" t="s">
        <v>11</v>
      </c>
      <c r="P2" s="4" t="s">
        <v>12</v>
      </c>
      <c r="Q2" s="4">
        <f>ABS(N2+P2)</f>
        <v>1800</v>
      </c>
    </row>
    <row r="3" spans="1:17" x14ac:dyDescent="0.35">
      <c r="A3" s="1" t="s">
        <v>280</v>
      </c>
      <c r="B3" s="2" t="s">
        <v>13</v>
      </c>
      <c r="C3" s="3">
        <v>45092</v>
      </c>
      <c r="D3" s="3">
        <v>45097</v>
      </c>
      <c r="E3" s="3" t="str">
        <f>TEXT(Travel_details_dataset3[[#This Row],[Start date]],"mmm")</f>
        <v>Jun</v>
      </c>
      <c r="F3" s="1">
        <v>5</v>
      </c>
      <c r="G3" s="1" t="str">
        <f>IF(Travel_details_dataset3[[#This Row],[Duration (days)]] &lt;7,"Short","Long")</f>
        <v>Short</v>
      </c>
      <c r="H3" s="2" t="s">
        <v>14</v>
      </c>
      <c r="I3" s="1">
        <v>18</v>
      </c>
      <c r="J3" s="1" t="str">
        <f>IF(Travel_details_dataset3[[#This Row],[Age]]&lt;25,"Youth","Adult")</f>
        <v>Youth</v>
      </c>
      <c r="K3" s="2" t="s">
        <v>15</v>
      </c>
      <c r="L3" s="2" t="s">
        <v>16</v>
      </c>
      <c r="M3" s="2" t="s">
        <v>17</v>
      </c>
      <c r="N3" s="5" t="s">
        <v>18</v>
      </c>
      <c r="O3" s="2" t="s">
        <v>11</v>
      </c>
      <c r="P3" s="2" t="s">
        <v>19</v>
      </c>
      <c r="Q3" s="4">
        <f>ABS(N3+P3)</f>
        <v>1300</v>
      </c>
    </row>
    <row r="4" spans="1:17" x14ac:dyDescent="0.35">
      <c r="A4" s="1" t="s">
        <v>281</v>
      </c>
      <c r="B4" s="2" t="s">
        <v>20</v>
      </c>
      <c r="C4" s="3">
        <v>45108</v>
      </c>
      <c r="D4" s="3">
        <v>45115</v>
      </c>
      <c r="E4" s="3" t="str">
        <f>TEXT(Travel_details_dataset3[[#This Row],[Start date]],"mmm")</f>
        <v>Jul</v>
      </c>
      <c r="F4" s="1">
        <v>7</v>
      </c>
      <c r="G4" s="1" t="str">
        <f>IF(Travel_details_dataset3[[#This Row],[Duration (days)]] &lt;7,"Short","Long")</f>
        <v>Long</v>
      </c>
      <c r="H4" s="2" t="s">
        <v>21</v>
      </c>
      <c r="I4" s="1">
        <v>45</v>
      </c>
      <c r="J4" s="1" t="str">
        <f>IF(Travel_details_dataset3[[#This Row],[Age]]&lt;25,"Youth","Adult")</f>
        <v>Adult</v>
      </c>
      <c r="K4" s="2" t="s">
        <v>7</v>
      </c>
      <c r="L4" s="2" t="s">
        <v>22</v>
      </c>
      <c r="M4" s="2" t="s">
        <v>23</v>
      </c>
      <c r="N4" s="5" t="s">
        <v>24</v>
      </c>
      <c r="O4" s="2" t="s">
        <v>11</v>
      </c>
      <c r="P4" s="2" t="s">
        <v>25</v>
      </c>
      <c r="Q4" s="4">
        <f>ABS(N4+P4)</f>
        <v>1700</v>
      </c>
    </row>
    <row r="5" spans="1:17" x14ac:dyDescent="0.35">
      <c r="A5" s="1" t="s">
        <v>282</v>
      </c>
      <c r="B5" s="2" t="s">
        <v>26</v>
      </c>
      <c r="C5" s="3">
        <v>45153</v>
      </c>
      <c r="D5" s="3">
        <v>45167</v>
      </c>
      <c r="E5" s="3" t="str">
        <f>TEXT(Travel_details_dataset3[[#This Row],[Start date]],"mmm")</f>
        <v>Aug</v>
      </c>
      <c r="F5" s="1">
        <v>14</v>
      </c>
      <c r="G5" s="1" t="str">
        <f>IF(Travel_details_dataset3[[#This Row],[Duration (days)]] &lt;7,"Short","Long")</f>
        <v>Long</v>
      </c>
      <c r="H5" s="2" t="s">
        <v>27</v>
      </c>
      <c r="I5" s="1">
        <v>29</v>
      </c>
      <c r="J5" s="1" t="str">
        <f>IF(Travel_details_dataset3[[#This Row],[Age]]&lt;25,"Youth","Adult")</f>
        <v>Adult</v>
      </c>
      <c r="K5" s="2" t="s">
        <v>15</v>
      </c>
      <c r="L5" s="2" t="s">
        <v>28</v>
      </c>
      <c r="M5" s="2" t="s">
        <v>9</v>
      </c>
      <c r="N5" s="5" t="s">
        <v>29</v>
      </c>
      <c r="O5" s="2" t="s">
        <v>11</v>
      </c>
      <c r="P5" s="2" t="s">
        <v>24</v>
      </c>
      <c r="Q5" s="4">
        <f>ABS(N5+P5)</f>
        <v>3000</v>
      </c>
    </row>
    <row r="6" spans="1:17" x14ac:dyDescent="0.35">
      <c r="A6" s="1" t="s">
        <v>283</v>
      </c>
      <c r="B6" s="2" t="s">
        <v>30</v>
      </c>
      <c r="C6" s="3">
        <v>45179</v>
      </c>
      <c r="D6" s="3">
        <v>45186</v>
      </c>
      <c r="E6" s="3" t="str">
        <f>TEXT(Travel_details_dataset3[[#This Row],[Start date]],"mmm")</f>
        <v>Sep</v>
      </c>
      <c r="F6" s="1">
        <v>7</v>
      </c>
      <c r="G6" s="1" t="str">
        <f>IF(Travel_details_dataset3[[#This Row],[Duration (days)]] &lt;7,"Short","Long")</f>
        <v>Long</v>
      </c>
      <c r="H6" s="2" t="s">
        <v>31</v>
      </c>
      <c r="I6" s="1">
        <v>26</v>
      </c>
      <c r="J6" s="1" t="str">
        <f>IF(Travel_details_dataset3[[#This Row],[Age]]&lt;25,"Youth","Adult")</f>
        <v>Adult</v>
      </c>
      <c r="K6" s="2" t="s">
        <v>15</v>
      </c>
      <c r="L6" s="2" t="s">
        <v>32</v>
      </c>
      <c r="M6" s="2" t="s">
        <v>33</v>
      </c>
      <c r="N6" s="5" t="s">
        <v>25</v>
      </c>
      <c r="O6" s="2" t="s">
        <v>34</v>
      </c>
      <c r="P6" s="2" t="s">
        <v>35</v>
      </c>
      <c r="Q6" s="4">
        <f>ABS(N6+P6)</f>
        <v>900</v>
      </c>
    </row>
    <row r="7" spans="1:17" x14ac:dyDescent="0.35">
      <c r="A7" s="1" t="s">
        <v>284</v>
      </c>
      <c r="B7" s="2" t="s">
        <v>36</v>
      </c>
      <c r="C7" s="3">
        <v>45204</v>
      </c>
      <c r="D7" s="3">
        <v>45209</v>
      </c>
      <c r="E7" s="3" t="str">
        <f>TEXT(Travel_details_dataset3[[#This Row],[Start date]],"mmm")</f>
        <v>Oct</v>
      </c>
      <c r="F7" s="1">
        <v>5</v>
      </c>
      <c r="G7" s="1" t="str">
        <f>IF(Travel_details_dataset3[[#This Row],[Duration (days)]] &lt;7,"Short","Long")</f>
        <v>Short</v>
      </c>
      <c r="H7" s="2" t="s">
        <v>37</v>
      </c>
      <c r="I7" s="1">
        <v>42</v>
      </c>
      <c r="J7" s="1" t="str">
        <f>IF(Travel_details_dataset3[[#This Row],[Age]]&lt;25,"Youth","Adult")</f>
        <v>Adult</v>
      </c>
      <c r="K7" s="2" t="s">
        <v>7</v>
      </c>
      <c r="L7" s="2" t="s">
        <v>8</v>
      </c>
      <c r="M7" s="2" t="s">
        <v>9</v>
      </c>
      <c r="N7" s="5" t="s">
        <v>38</v>
      </c>
      <c r="O7" s="2" t="s">
        <v>11</v>
      </c>
      <c r="P7" s="2" t="s">
        <v>18</v>
      </c>
      <c r="Q7" s="4">
        <f>ABS(N7+P7)</f>
        <v>2300</v>
      </c>
    </row>
    <row r="8" spans="1:17" x14ac:dyDescent="0.35">
      <c r="A8" s="1" t="s">
        <v>285</v>
      </c>
      <c r="B8" s="2" t="s">
        <v>39</v>
      </c>
      <c r="C8" s="3">
        <v>45250</v>
      </c>
      <c r="D8" s="3">
        <v>45260</v>
      </c>
      <c r="E8" s="3" t="str">
        <f>TEXT(Travel_details_dataset3[[#This Row],[Start date]],"mmm")</f>
        <v>Nov</v>
      </c>
      <c r="F8" s="1">
        <v>10</v>
      </c>
      <c r="G8" s="1" t="str">
        <f>IF(Travel_details_dataset3[[#This Row],[Duration (days)]] &lt;7,"Short","Long")</f>
        <v>Long</v>
      </c>
      <c r="H8" s="2" t="s">
        <v>40</v>
      </c>
      <c r="I8" s="1">
        <v>33</v>
      </c>
      <c r="J8" s="1" t="str">
        <f>IF(Travel_details_dataset3[[#This Row],[Age]]&lt;25,"Youth","Adult")</f>
        <v>Adult</v>
      </c>
      <c r="K8" s="2" t="s">
        <v>15</v>
      </c>
      <c r="L8" s="2" t="s">
        <v>41</v>
      </c>
      <c r="M8" s="2" t="s">
        <v>42</v>
      </c>
      <c r="N8" s="5" t="s">
        <v>19</v>
      </c>
      <c r="O8" s="2" t="s">
        <v>11</v>
      </c>
      <c r="P8" s="2" t="s">
        <v>10</v>
      </c>
      <c r="Q8" s="4">
        <f>ABS(N8+P8)</f>
        <v>1700</v>
      </c>
    </row>
    <row r="9" spans="1:17" x14ac:dyDescent="0.35">
      <c r="A9" s="1" t="s">
        <v>286</v>
      </c>
      <c r="B9" s="2" t="s">
        <v>43</v>
      </c>
      <c r="C9" s="3">
        <v>45296</v>
      </c>
      <c r="D9" s="3">
        <v>45303</v>
      </c>
      <c r="E9" s="3" t="str">
        <f>TEXT(Travel_details_dataset3[[#This Row],[Start date]],"mmm")</f>
        <v>Jan</v>
      </c>
      <c r="F9" s="1">
        <v>7</v>
      </c>
      <c r="G9" s="1" t="str">
        <f>IF(Travel_details_dataset3[[#This Row],[Duration (days)]] &lt;7,"Short","Long")</f>
        <v>Long</v>
      </c>
      <c r="H9" s="2" t="s">
        <v>44</v>
      </c>
      <c r="I9" s="1">
        <v>25</v>
      </c>
      <c r="J9" s="1" t="str">
        <f>IF(Travel_details_dataset3[[#This Row],[Age]]&lt;25,"Youth","Adult")</f>
        <v>Adult</v>
      </c>
      <c r="K9" s="2" t="s">
        <v>7</v>
      </c>
      <c r="L9" s="2" t="s">
        <v>45</v>
      </c>
      <c r="M9" s="2" t="s">
        <v>33</v>
      </c>
      <c r="N9" s="5" t="s">
        <v>46</v>
      </c>
      <c r="O9" s="2" t="s">
        <v>11</v>
      </c>
      <c r="P9" s="2" t="s">
        <v>12</v>
      </c>
      <c r="Q9" s="4">
        <f>ABS(N9+P9)</f>
        <v>1500</v>
      </c>
    </row>
    <row r="10" spans="1:17" x14ac:dyDescent="0.35">
      <c r="A10" s="1" t="s">
        <v>287</v>
      </c>
      <c r="B10" s="2" t="s">
        <v>47</v>
      </c>
      <c r="C10" s="3">
        <v>45336</v>
      </c>
      <c r="D10" s="3">
        <v>45343</v>
      </c>
      <c r="E10" s="3" t="str">
        <f>TEXT(Travel_details_dataset3[[#This Row],[Start date]],"mmm")</f>
        <v>Feb</v>
      </c>
      <c r="F10" s="1">
        <v>7</v>
      </c>
      <c r="G10" s="1" t="str">
        <f>IF(Travel_details_dataset3[[#This Row],[Duration (days)]] &lt;7,"Short","Long")</f>
        <v>Long</v>
      </c>
      <c r="H10" s="2" t="s">
        <v>48</v>
      </c>
      <c r="I10" s="1">
        <v>31</v>
      </c>
      <c r="J10" s="1" t="str">
        <f>IF(Travel_details_dataset3[[#This Row],[Age]]&lt;25,"Youth","Adult")</f>
        <v>Adult</v>
      </c>
      <c r="K10" s="2" t="s">
        <v>15</v>
      </c>
      <c r="L10" s="2" t="s">
        <v>49</v>
      </c>
      <c r="M10" s="2" t="s">
        <v>9</v>
      </c>
      <c r="N10" s="5" t="s">
        <v>10</v>
      </c>
      <c r="O10" s="2" t="s">
        <v>34</v>
      </c>
      <c r="P10" s="2" t="s">
        <v>35</v>
      </c>
      <c r="Q10" s="4">
        <f>ABS(N10+P10)</f>
        <v>1400</v>
      </c>
    </row>
    <row r="11" spans="1:17" x14ac:dyDescent="0.35">
      <c r="A11" s="1" t="s">
        <v>288</v>
      </c>
      <c r="B11" s="2" t="s">
        <v>50</v>
      </c>
      <c r="C11" s="3">
        <v>45361</v>
      </c>
      <c r="D11" s="3">
        <v>45368</v>
      </c>
      <c r="E11" s="3" t="str">
        <f>TEXT(Travel_details_dataset3[[#This Row],[Start date]],"mmm")</f>
        <v>Mar</v>
      </c>
      <c r="F11" s="1">
        <v>7</v>
      </c>
      <c r="G11" s="1" t="str">
        <f>IF(Travel_details_dataset3[[#This Row],[Duration (days)]] &lt;7,"Short","Long")</f>
        <v>Long</v>
      </c>
      <c r="H11" s="2" t="s">
        <v>51</v>
      </c>
      <c r="I11" s="1">
        <v>39</v>
      </c>
      <c r="J11" s="1" t="str">
        <f>IF(Travel_details_dataset3[[#This Row],[Age]]&lt;25,"Youth","Adult")</f>
        <v>Adult</v>
      </c>
      <c r="K11" s="2" t="s">
        <v>7</v>
      </c>
      <c r="L11" s="2" t="s">
        <v>52</v>
      </c>
      <c r="M11" s="2" t="s">
        <v>17</v>
      </c>
      <c r="N11" s="5" t="s">
        <v>53</v>
      </c>
      <c r="O11" s="2" t="s">
        <v>11</v>
      </c>
      <c r="P11" s="2" t="s">
        <v>18</v>
      </c>
      <c r="Q11" s="4">
        <f>ABS(N11+P11)</f>
        <v>3300</v>
      </c>
    </row>
    <row r="12" spans="1:17" x14ac:dyDescent="0.35">
      <c r="A12" s="1" t="s">
        <v>289</v>
      </c>
      <c r="B12" s="2" t="s">
        <v>54</v>
      </c>
      <c r="C12" s="3">
        <v>45383</v>
      </c>
      <c r="D12" s="3">
        <v>45390</v>
      </c>
      <c r="E12" s="3" t="str">
        <f>TEXT(Travel_details_dataset3[[#This Row],[Start date]],"mmm")</f>
        <v>Apr</v>
      </c>
      <c r="F12" s="1">
        <v>7</v>
      </c>
      <c r="G12" s="1" t="str">
        <f>IF(Travel_details_dataset3[[#This Row],[Duration (days)]] &lt;7,"Short","Long")</f>
        <v>Long</v>
      </c>
      <c r="H12" s="2" t="s">
        <v>55</v>
      </c>
      <c r="I12" s="1">
        <v>18</v>
      </c>
      <c r="J12" s="1" t="str">
        <f>IF(Travel_details_dataset3[[#This Row],[Age]]&lt;25,"Youth","Adult")</f>
        <v>Youth</v>
      </c>
      <c r="K12" s="2" t="s">
        <v>15</v>
      </c>
      <c r="L12" s="2" t="s">
        <v>56</v>
      </c>
      <c r="M12" s="2" t="s">
        <v>9</v>
      </c>
      <c r="N12" s="5" t="s">
        <v>24</v>
      </c>
      <c r="O12" s="2" t="s">
        <v>11</v>
      </c>
      <c r="P12" s="2" t="s">
        <v>19</v>
      </c>
      <c r="Q12" s="4">
        <f>ABS(N12+P12)</f>
        <v>1500</v>
      </c>
    </row>
    <row r="13" spans="1:17" x14ac:dyDescent="0.35">
      <c r="A13" s="1" t="s">
        <v>290</v>
      </c>
      <c r="B13" s="2" t="s">
        <v>57</v>
      </c>
      <c r="C13" s="3">
        <v>45427</v>
      </c>
      <c r="D13" s="3">
        <v>45434</v>
      </c>
      <c r="E13" s="3" t="str">
        <f>TEXT(Travel_details_dataset3[[#This Row],[Start date]],"mmm")</f>
        <v>May</v>
      </c>
      <c r="F13" s="1">
        <v>7</v>
      </c>
      <c r="G13" s="1" t="str">
        <f>IF(Travel_details_dataset3[[#This Row],[Duration (days)]] &lt;7,"Short","Long")</f>
        <v>Long</v>
      </c>
      <c r="H13" s="2" t="s">
        <v>58</v>
      </c>
      <c r="I13" s="1">
        <v>36</v>
      </c>
      <c r="J13" s="1" t="str">
        <f>IF(Travel_details_dataset3[[#This Row],[Age]]&lt;25,"Youth","Adult")</f>
        <v>Adult</v>
      </c>
      <c r="K13" s="2" t="s">
        <v>7</v>
      </c>
      <c r="L13" s="2" t="s">
        <v>59</v>
      </c>
      <c r="M13" s="2" t="s">
        <v>33</v>
      </c>
      <c r="N13" s="5" t="s">
        <v>18</v>
      </c>
      <c r="O13" s="2" t="s">
        <v>34</v>
      </c>
      <c r="P13" s="2" t="s">
        <v>60</v>
      </c>
      <c r="Q13" s="4">
        <f>ABS(N13+P13)</f>
        <v>900</v>
      </c>
    </row>
    <row r="14" spans="1:17" x14ac:dyDescent="0.35">
      <c r="A14" s="1" t="s">
        <v>291</v>
      </c>
      <c r="B14" s="2" t="s">
        <v>61</v>
      </c>
      <c r="C14" s="3">
        <v>45453</v>
      </c>
      <c r="D14" s="3">
        <v>45461</v>
      </c>
      <c r="E14" s="3" t="str">
        <f>TEXT(Travel_details_dataset3[[#This Row],[Start date]],"mmm")</f>
        <v>Jun</v>
      </c>
      <c r="F14" s="1">
        <v>8</v>
      </c>
      <c r="G14" s="1" t="str">
        <f>IF(Travel_details_dataset3[[#This Row],[Duration (days)]] &lt;7,"Short","Long")</f>
        <v>Long</v>
      </c>
      <c r="H14" s="2" t="s">
        <v>62</v>
      </c>
      <c r="I14" s="1">
        <v>29</v>
      </c>
      <c r="J14" s="1" t="str">
        <f>IF(Travel_details_dataset3[[#This Row],[Age]]&lt;25,"Youth","Adult")</f>
        <v>Adult</v>
      </c>
      <c r="K14" s="2" t="s">
        <v>15</v>
      </c>
      <c r="L14" s="2" t="s">
        <v>63</v>
      </c>
      <c r="M14" s="2" t="s">
        <v>17</v>
      </c>
      <c r="N14" s="5" t="s">
        <v>64</v>
      </c>
      <c r="O14" s="2" t="s">
        <v>11</v>
      </c>
      <c r="P14" s="2" t="s">
        <v>10</v>
      </c>
      <c r="Q14" s="4">
        <f>ABS(N14+P14)</f>
        <v>4200</v>
      </c>
    </row>
    <row r="15" spans="1:17" x14ac:dyDescent="0.35">
      <c r="A15" s="1" t="s">
        <v>292</v>
      </c>
      <c r="B15" s="2" t="s">
        <v>65</v>
      </c>
      <c r="C15" s="3">
        <v>45474</v>
      </c>
      <c r="D15" s="3">
        <v>45483</v>
      </c>
      <c r="E15" s="3" t="str">
        <f>TEXT(Travel_details_dataset3[[#This Row],[Start date]],"mmm")</f>
        <v>Jul</v>
      </c>
      <c r="F15" s="1">
        <v>9</v>
      </c>
      <c r="G15" s="1" t="str">
        <f>IF(Travel_details_dataset3[[#This Row],[Duration (days)]] &lt;7,"Short","Long")</f>
        <v>Long</v>
      </c>
      <c r="H15" s="2" t="s">
        <v>66</v>
      </c>
      <c r="I15" s="1">
        <v>48</v>
      </c>
      <c r="J15" s="1" t="str">
        <f>IF(Travel_details_dataset3[[#This Row],[Age]]&lt;25,"Youth","Adult")</f>
        <v>Adult</v>
      </c>
      <c r="K15" s="2" t="s">
        <v>7</v>
      </c>
      <c r="L15" s="2" t="s">
        <v>67</v>
      </c>
      <c r="M15" s="2" t="s">
        <v>9</v>
      </c>
      <c r="N15" s="5" t="s">
        <v>68</v>
      </c>
      <c r="O15" s="2" t="s">
        <v>11</v>
      </c>
      <c r="P15" s="2" t="s">
        <v>25</v>
      </c>
      <c r="Q15" s="4">
        <f>ABS(N15+P15)</f>
        <v>2100</v>
      </c>
    </row>
    <row r="16" spans="1:17" x14ac:dyDescent="0.35">
      <c r="A16" s="1" t="s">
        <v>293</v>
      </c>
      <c r="B16" s="2" t="s">
        <v>69</v>
      </c>
      <c r="C16" s="3">
        <v>45524</v>
      </c>
      <c r="D16" s="3">
        <v>45531</v>
      </c>
      <c r="E16" s="3" t="str">
        <f>TEXT(Travel_details_dataset3[[#This Row],[Start date]],"mmm")</f>
        <v>Aug</v>
      </c>
      <c r="F16" s="1">
        <v>7</v>
      </c>
      <c r="G16" s="1" t="str">
        <f>IF(Travel_details_dataset3[[#This Row],[Duration (days)]] &lt;7,"Short","Long")</f>
        <v>Long</v>
      </c>
      <c r="H16" s="2" t="s">
        <v>70</v>
      </c>
      <c r="I16" s="1">
        <v>18</v>
      </c>
      <c r="J16" s="1" t="str">
        <f>IF(Travel_details_dataset3[[#This Row],[Age]]&lt;25,"Youth","Adult")</f>
        <v>Youth</v>
      </c>
      <c r="K16" s="2" t="s">
        <v>15</v>
      </c>
      <c r="L16" s="2" t="s">
        <v>71</v>
      </c>
      <c r="M16" s="2" t="s">
        <v>72</v>
      </c>
      <c r="N16" s="5" t="s">
        <v>12</v>
      </c>
      <c r="O16" s="2" t="s">
        <v>11</v>
      </c>
      <c r="P16" s="2" t="s">
        <v>73</v>
      </c>
      <c r="Q16" s="4">
        <f>ABS(N16+P16)</f>
        <v>1000</v>
      </c>
    </row>
    <row r="17" spans="1:17" x14ac:dyDescent="0.35">
      <c r="A17" s="1" t="s">
        <v>294</v>
      </c>
      <c r="B17" s="2" t="s">
        <v>74</v>
      </c>
      <c r="C17" s="3">
        <v>45540</v>
      </c>
      <c r="D17" s="3">
        <v>45547</v>
      </c>
      <c r="E17" s="3" t="str">
        <f>TEXT(Travel_details_dataset3[[#This Row],[Start date]],"mmm")</f>
        <v>Sep</v>
      </c>
      <c r="F17" s="1">
        <v>7</v>
      </c>
      <c r="G17" s="1" t="str">
        <f>IF(Travel_details_dataset3[[#This Row],[Duration (days)]] &lt;7,"Short","Long")</f>
        <v>Long</v>
      </c>
      <c r="H17" s="2" t="s">
        <v>75</v>
      </c>
      <c r="I17" s="1">
        <v>32</v>
      </c>
      <c r="J17" s="1" t="str">
        <f>IF(Travel_details_dataset3[[#This Row],[Age]]&lt;25,"Youth","Adult")</f>
        <v>Adult</v>
      </c>
      <c r="K17" s="2" t="s">
        <v>7</v>
      </c>
      <c r="L17" s="2" t="s">
        <v>76</v>
      </c>
      <c r="M17" s="2" t="s">
        <v>9</v>
      </c>
      <c r="N17" s="5" t="s">
        <v>46</v>
      </c>
      <c r="O17" s="2" t="s">
        <v>34</v>
      </c>
      <c r="P17" s="2" t="s">
        <v>77</v>
      </c>
      <c r="Q17" s="4">
        <f>ABS(N17+P17)</f>
        <v>1050</v>
      </c>
    </row>
    <row r="18" spans="1:17" x14ac:dyDescent="0.35">
      <c r="A18" s="1" t="s">
        <v>295</v>
      </c>
      <c r="B18" s="2" t="s">
        <v>78</v>
      </c>
      <c r="C18" s="3">
        <v>45170</v>
      </c>
      <c r="D18" s="3">
        <v>45179</v>
      </c>
      <c r="E18" s="3" t="str">
        <f>TEXT(Travel_details_dataset3[[#This Row],[Start date]],"mmm")</f>
        <v>Sep</v>
      </c>
      <c r="F18" s="1">
        <v>9</v>
      </c>
      <c r="G18" s="1" t="str">
        <f>IF(Travel_details_dataset3[[#This Row],[Duration (days)]] &lt;7,"Short","Long")</f>
        <v>Long</v>
      </c>
      <c r="H18" s="2" t="s">
        <v>27</v>
      </c>
      <c r="I18" s="1">
        <v>30</v>
      </c>
      <c r="J18" s="1" t="str">
        <f>IF(Travel_details_dataset3[[#This Row],[Age]]&lt;25,"Youth","Adult")</f>
        <v>Adult</v>
      </c>
      <c r="K18" s="2" t="s">
        <v>15</v>
      </c>
      <c r="L18" s="2" t="s">
        <v>8</v>
      </c>
      <c r="M18" s="2" t="s">
        <v>9</v>
      </c>
      <c r="N18" s="5" t="s">
        <v>79</v>
      </c>
      <c r="O18" s="2" t="s">
        <v>80</v>
      </c>
      <c r="P18" s="2" t="s">
        <v>81</v>
      </c>
      <c r="Q18" s="4">
        <f>ABS(N18+P18)</f>
        <v>1300</v>
      </c>
    </row>
    <row r="19" spans="1:17" x14ac:dyDescent="0.35">
      <c r="A19" s="1" t="s">
        <v>296</v>
      </c>
      <c r="B19" s="2" t="s">
        <v>82</v>
      </c>
      <c r="C19" s="3">
        <v>45153</v>
      </c>
      <c r="D19" s="3">
        <v>45163</v>
      </c>
      <c r="E19" s="3" t="str">
        <f>TEXT(Travel_details_dataset3[[#This Row],[Start date]],"mmm")</f>
        <v>Aug</v>
      </c>
      <c r="F19" s="1">
        <v>10</v>
      </c>
      <c r="G19" s="1" t="str">
        <f>IF(Travel_details_dataset3[[#This Row],[Duration (days)]] &lt;7,"Short","Long")</f>
        <v>Long</v>
      </c>
      <c r="H19" s="2" t="s">
        <v>83</v>
      </c>
      <c r="I19" s="1">
        <v>28</v>
      </c>
      <c r="J19" s="1" t="str">
        <f>IF(Travel_details_dataset3[[#This Row],[Age]]&lt;25,"Youth","Adult")</f>
        <v>Adult</v>
      </c>
      <c r="K19" s="2" t="s">
        <v>7</v>
      </c>
      <c r="L19" s="2" t="s">
        <v>63</v>
      </c>
      <c r="M19" s="2" t="s">
        <v>17</v>
      </c>
      <c r="N19" s="5" t="s">
        <v>84</v>
      </c>
      <c r="O19" s="2" t="s">
        <v>80</v>
      </c>
      <c r="P19" s="2" t="s">
        <v>85</v>
      </c>
      <c r="Q19" s="4">
        <f>ABS(N19+P19)</f>
        <v>2200</v>
      </c>
    </row>
    <row r="20" spans="1:17" x14ac:dyDescent="0.35">
      <c r="A20" s="1" t="s">
        <v>297</v>
      </c>
      <c r="B20" s="2" t="s">
        <v>86</v>
      </c>
      <c r="C20" s="3">
        <v>45129</v>
      </c>
      <c r="D20" s="3">
        <v>45135</v>
      </c>
      <c r="E20" s="3" t="str">
        <f>TEXT(Travel_details_dataset3[[#This Row],[Start date]],"mmm")</f>
        <v>Jul</v>
      </c>
      <c r="F20" s="1">
        <v>6</v>
      </c>
      <c r="G20" s="1" t="str">
        <f>IF(Travel_details_dataset3[[#This Row],[Duration (days)]] &lt;7,"Short","Long")</f>
        <v>Short</v>
      </c>
      <c r="H20" s="2" t="s">
        <v>87</v>
      </c>
      <c r="I20" s="1">
        <v>35</v>
      </c>
      <c r="J20" s="1" t="str">
        <f>IF(Travel_details_dataset3[[#This Row],[Age]]&lt;25,"Youth","Adult")</f>
        <v>Adult</v>
      </c>
      <c r="K20" s="2" t="s">
        <v>15</v>
      </c>
      <c r="L20" s="2" t="s">
        <v>28</v>
      </c>
      <c r="M20" s="2" t="s">
        <v>9</v>
      </c>
      <c r="N20" s="5" t="s">
        <v>88</v>
      </c>
      <c r="O20" s="2" t="s">
        <v>34</v>
      </c>
      <c r="P20" s="2" t="s">
        <v>89</v>
      </c>
      <c r="Q20" s="4">
        <f>ABS(N20+P20)</f>
        <v>1350</v>
      </c>
    </row>
    <row r="21" spans="1:17" x14ac:dyDescent="0.35">
      <c r="A21" s="1" t="s">
        <v>298</v>
      </c>
      <c r="B21" s="2" t="s">
        <v>90</v>
      </c>
      <c r="C21" s="3">
        <v>45204</v>
      </c>
      <c r="D21" s="3">
        <v>45214</v>
      </c>
      <c r="E21" s="3" t="str">
        <f>TEXT(Travel_details_dataset3[[#This Row],[Start date]],"mmm")</f>
        <v>Oct</v>
      </c>
      <c r="F21" s="1">
        <v>10</v>
      </c>
      <c r="G21" s="1" t="str">
        <f>IF(Travel_details_dataset3[[#This Row],[Duration (days)]] &lt;7,"Short","Long")</f>
        <v>Long</v>
      </c>
      <c r="H21" s="2" t="s">
        <v>91</v>
      </c>
      <c r="I21" s="1">
        <v>18</v>
      </c>
      <c r="J21" s="1" t="str">
        <f>IF(Travel_details_dataset3[[#This Row],[Age]]&lt;25,"Youth","Adult")</f>
        <v>Youth</v>
      </c>
      <c r="K21" s="2" t="s">
        <v>7</v>
      </c>
      <c r="L21" s="2" t="s">
        <v>92</v>
      </c>
      <c r="M21" s="2" t="s">
        <v>9</v>
      </c>
      <c r="N21" s="5" t="s">
        <v>88</v>
      </c>
      <c r="O21" s="2" t="s">
        <v>80</v>
      </c>
      <c r="P21" s="2" t="s">
        <v>93</v>
      </c>
      <c r="Q21" s="4">
        <f>ABS(N21+P21)</f>
        <v>2000</v>
      </c>
    </row>
    <row r="22" spans="1:17" x14ac:dyDescent="0.35">
      <c r="A22" s="1" t="s">
        <v>299</v>
      </c>
      <c r="B22" s="2" t="s">
        <v>94</v>
      </c>
      <c r="C22" s="3">
        <v>45250</v>
      </c>
      <c r="D22" s="3">
        <v>45255</v>
      </c>
      <c r="E22" s="3" t="str">
        <f>TEXT(Travel_details_dataset3[[#This Row],[Start date]],"mmm")</f>
        <v>Nov</v>
      </c>
      <c r="F22" s="1">
        <v>5</v>
      </c>
      <c r="G22" s="1" t="str">
        <f>IF(Travel_details_dataset3[[#This Row],[Duration (days)]] &lt;7,"Short","Long")</f>
        <v>Short</v>
      </c>
      <c r="H22" s="2" t="s">
        <v>95</v>
      </c>
      <c r="I22" s="1">
        <v>27</v>
      </c>
      <c r="J22" s="1" t="str">
        <f>IF(Travel_details_dataset3[[#This Row],[Age]]&lt;25,"Youth","Adult")</f>
        <v>Adult</v>
      </c>
      <c r="K22" s="2" t="s">
        <v>15</v>
      </c>
      <c r="L22" s="2" t="s">
        <v>8</v>
      </c>
      <c r="M22" s="2" t="s">
        <v>33</v>
      </c>
      <c r="N22" s="5" t="s">
        <v>96</v>
      </c>
      <c r="O22" s="2" t="s">
        <v>97</v>
      </c>
      <c r="P22" s="2" t="s">
        <v>98</v>
      </c>
      <c r="Q22" s="4">
        <f>ABS(N22+P22)</f>
        <v>700</v>
      </c>
    </row>
    <row r="23" spans="1:17" x14ac:dyDescent="0.35">
      <c r="A23" s="1" t="s">
        <v>300</v>
      </c>
      <c r="B23" s="2" t="s">
        <v>99</v>
      </c>
      <c r="C23" s="3">
        <v>45265</v>
      </c>
      <c r="D23" s="3">
        <v>45272</v>
      </c>
      <c r="E23" s="3" t="str">
        <f>TEXT(Travel_details_dataset3[[#This Row],[Start date]],"mmm")</f>
        <v>Dec</v>
      </c>
      <c r="F23" s="1">
        <v>7</v>
      </c>
      <c r="G23" s="1" t="str">
        <f>IF(Travel_details_dataset3[[#This Row],[Duration (days)]] &lt;7,"Short","Long")</f>
        <v>Long</v>
      </c>
      <c r="H23" s="2" t="s">
        <v>100</v>
      </c>
      <c r="I23" s="1">
        <v>32</v>
      </c>
      <c r="J23" s="1" t="str">
        <f>IF(Travel_details_dataset3[[#This Row],[Age]]&lt;25,"Youth","Adult")</f>
        <v>Adult</v>
      </c>
      <c r="K23" s="2" t="s">
        <v>7</v>
      </c>
      <c r="L23" s="2" t="s">
        <v>41</v>
      </c>
      <c r="M23" s="2" t="s">
        <v>9</v>
      </c>
      <c r="N23" s="5" t="s">
        <v>101</v>
      </c>
      <c r="O23" s="2" t="s">
        <v>80</v>
      </c>
      <c r="P23" s="2" t="s">
        <v>96</v>
      </c>
      <c r="Q23" s="4">
        <f>ABS(N23+P23)</f>
        <v>1600</v>
      </c>
    </row>
    <row r="24" spans="1:17" x14ac:dyDescent="0.35">
      <c r="A24" s="1" t="s">
        <v>301</v>
      </c>
      <c r="B24" s="2" t="s">
        <v>102</v>
      </c>
      <c r="C24" s="3">
        <v>45231</v>
      </c>
      <c r="D24" s="3">
        <v>45238</v>
      </c>
      <c r="E24" s="3" t="str">
        <f>TEXT(Travel_details_dataset3[[#This Row],[Start date]],"mmm")</f>
        <v>Nov</v>
      </c>
      <c r="F24" s="1">
        <v>7</v>
      </c>
      <c r="G24" s="1" t="str">
        <f>IF(Travel_details_dataset3[[#This Row],[Duration (days)]] &lt;7,"Short","Long")</f>
        <v>Long</v>
      </c>
      <c r="H24" s="2" t="s">
        <v>103</v>
      </c>
      <c r="I24" s="1">
        <v>29</v>
      </c>
      <c r="J24" s="1" t="str">
        <f>IF(Travel_details_dataset3[[#This Row],[Age]]&lt;25,"Youth","Adult")</f>
        <v>Adult</v>
      </c>
      <c r="K24" s="2" t="s">
        <v>15</v>
      </c>
      <c r="L24" s="2" t="s">
        <v>104</v>
      </c>
      <c r="M24" s="2" t="s">
        <v>33</v>
      </c>
      <c r="N24" s="5" t="s">
        <v>85</v>
      </c>
      <c r="O24" s="2" t="s">
        <v>34</v>
      </c>
      <c r="P24" s="2" t="s">
        <v>105</v>
      </c>
      <c r="Q24" s="4">
        <f>ABS(N24+P24)</f>
        <v>780</v>
      </c>
    </row>
    <row r="25" spans="1:17" x14ac:dyDescent="0.35">
      <c r="A25" s="1" t="s">
        <v>302</v>
      </c>
      <c r="B25" s="2" t="s">
        <v>106</v>
      </c>
      <c r="C25" s="3">
        <v>45184</v>
      </c>
      <c r="D25" s="3">
        <v>45192</v>
      </c>
      <c r="E25" s="3" t="str">
        <f>TEXT(Travel_details_dataset3[[#This Row],[Start date]],"mmm")</f>
        <v>Sep</v>
      </c>
      <c r="F25" s="1">
        <v>8</v>
      </c>
      <c r="G25" s="1" t="str">
        <f>IF(Travel_details_dataset3[[#This Row],[Duration (days)]] &lt;7,"Short","Long")</f>
        <v>Long</v>
      </c>
      <c r="H25" s="2" t="s">
        <v>107</v>
      </c>
      <c r="I25" s="1">
        <v>40</v>
      </c>
      <c r="J25" s="1" t="str">
        <f>IF(Travel_details_dataset3[[#This Row],[Age]]&lt;25,"Youth","Adult")</f>
        <v>Adult</v>
      </c>
      <c r="K25" s="2" t="s">
        <v>7</v>
      </c>
      <c r="L25" s="2" t="s">
        <v>108</v>
      </c>
      <c r="M25" s="2" t="s">
        <v>42</v>
      </c>
      <c r="N25" s="5" t="s">
        <v>81</v>
      </c>
      <c r="O25" s="2" t="s">
        <v>80</v>
      </c>
      <c r="P25" s="2" t="s">
        <v>109</v>
      </c>
      <c r="Q25" s="4">
        <f>ABS(N25+P25)</f>
        <v>900</v>
      </c>
    </row>
    <row r="26" spans="1:17" x14ac:dyDescent="0.35">
      <c r="A26" s="1" t="s">
        <v>303</v>
      </c>
      <c r="B26" s="2" t="s">
        <v>78</v>
      </c>
      <c r="C26" s="3">
        <v>45282</v>
      </c>
      <c r="D26" s="3">
        <v>45288</v>
      </c>
      <c r="E26" s="3" t="str">
        <f>TEXT(Travel_details_dataset3[[#This Row],[Start date]],"mmm")</f>
        <v>Dec</v>
      </c>
      <c r="F26" s="1">
        <v>6</v>
      </c>
      <c r="G26" s="1" t="str">
        <f>IF(Travel_details_dataset3[[#This Row],[Duration (days)]] &lt;7,"Short","Long")</f>
        <v>Short</v>
      </c>
      <c r="H26" s="2" t="s">
        <v>110</v>
      </c>
      <c r="I26" s="1">
        <v>18</v>
      </c>
      <c r="J26" s="1" t="str">
        <f>IF(Travel_details_dataset3[[#This Row],[Age]]&lt;25,"Youth","Adult")</f>
        <v>Youth</v>
      </c>
      <c r="K26" s="2" t="s">
        <v>15</v>
      </c>
      <c r="L26" s="2" t="s">
        <v>32</v>
      </c>
      <c r="M26" s="2" t="s">
        <v>9</v>
      </c>
      <c r="N26" s="5" t="s">
        <v>111</v>
      </c>
      <c r="O26" s="2" t="s">
        <v>34</v>
      </c>
      <c r="P26" s="2" t="s">
        <v>98</v>
      </c>
      <c r="Q26" s="4">
        <f>ABS(N26+P26)</f>
        <v>1500</v>
      </c>
    </row>
    <row r="27" spans="1:17" x14ac:dyDescent="0.35">
      <c r="A27" s="1" t="s">
        <v>304</v>
      </c>
      <c r="B27" s="2" t="s">
        <v>112</v>
      </c>
      <c r="C27" s="3">
        <v>45139</v>
      </c>
      <c r="D27" s="3">
        <v>45148</v>
      </c>
      <c r="E27" s="3" t="str">
        <f>TEXT(Travel_details_dataset3[[#This Row],[Start date]],"mmm")</f>
        <v>Aug</v>
      </c>
      <c r="F27" s="1">
        <v>9</v>
      </c>
      <c r="G27" s="1" t="str">
        <f>IF(Travel_details_dataset3[[#This Row],[Duration (days)]] &lt;7,"Short","Long")</f>
        <v>Long</v>
      </c>
      <c r="H27" s="2" t="s">
        <v>113</v>
      </c>
      <c r="I27" s="1">
        <v>34</v>
      </c>
      <c r="J27" s="1" t="str">
        <f>IF(Travel_details_dataset3[[#This Row],[Age]]&lt;25,"Youth","Adult")</f>
        <v>Adult</v>
      </c>
      <c r="K27" s="2" t="s">
        <v>7</v>
      </c>
      <c r="L27" s="2" t="s">
        <v>22</v>
      </c>
      <c r="M27" s="2" t="s">
        <v>17</v>
      </c>
      <c r="N27" s="5" t="s">
        <v>114</v>
      </c>
      <c r="O27" s="2" t="s">
        <v>80</v>
      </c>
      <c r="P27" s="2" t="s">
        <v>93</v>
      </c>
      <c r="Q27" s="4">
        <f>ABS(N27+P27)</f>
        <v>2800</v>
      </c>
    </row>
    <row r="28" spans="1:17" x14ac:dyDescent="0.35">
      <c r="A28" s="1" t="s">
        <v>305</v>
      </c>
      <c r="B28" s="2" t="s">
        <v>115</v>
      </c>
      <c r="C28" s="3">
        <v>45219</v>
      </c>
      <c r="D28" s="3">
        <v>45227</v>
      </c>
      <c r="E28" s="3" t="str">
        <f>TEXT(Travel_details_dataset3[[#This Row],[Start date]],"mmm")</f>
        <v>Oct</v>
      </c>
      <c r="F28" s="1">
        <v>8</v>
      </c>
      <c r="G28" s="1" t="str">
        <f>IF(Travel_details_dataset3[[#This Row],[Duration (days)]] &lt;7,"Short","Long")</f>
        <v>Long</v>
      </c>
      <c r="H28" s="2" t="s">
        <v>116</v>
      </c>
      <c r="I28" s="1">
        <v>31</v>
      </c>
      <c r="J28" s="1" t="str">
        <f>IF(Travel_details_dataset3[[#This Row],[Age]]&lt;25,"Youth","Adult")</f>
        <v>Adult</v>
      </c>
      <c r="K28" s="2" t="s">
        <v>15</v>
      </c>
      <c r="L28" s="2" t="s">
        <v>59</v>
      </c>
      <c r="M28" s="2" t="s">
        <v>9</v>
      </c>
      <c r="N28" s="5" t="s">
        <v>117</v>
      </c>
      <c r="O28" s="2" t="s">
        <v>34</v>
      </c>
      <c r="P28" s="2" t="s">
        <v>89</v>
      </c>
      <c r="Q28" s="4">
        <f>ABS(N28+P28)</f>
        <v>1250</v>
      </c>
    </row>
    <row r="29" spans="1:17" x14ac:dyDescent="0.35">
      <c r="A29" s="1" t="s">
        <v>306</v>
      </c>
      <c r="B29" s="2" t="s">
        <v>118</v>
      </c>
      <c r="C29" s="3">
        <v>44691</v>
      </c>
      <c r="D29" s="3">
        <v>44699</v>
      </c>
      <c r="E29" s="3" t="str">
        <f>TEXT(Travel_details_dataset3[[#This Row],[Start date]],"mmm")</f>
        <v>May</v>
      </c>
      <c r="F29" s="1">
        <v>8</v>
      </c>
      <c r="G29" s="1" t="str">
        <f>IF(Travel_details_dataset3[[#This Row],[Duration (days)]] &lt;7,"Short","Long")</f>
        <v>Long</v>
      </c>
      <c r="H29" s="2" t="s">
        <v>119</v>
      </c>
      <c r="I29" s="1">
        <v>30</v>
      </c>
      <c r="J29" s="1" t="str">
        <f>IF(Travel_details_dataset3[[#This Row],[Age]]&lt;25,"Youth","Adult")</f>
        <v>Adult</v>
      </c>
      <c r="K29" s="2" t="s">
        <v>15</v>
      </c>
      <c r="L29" s="2" t="s">
        <v>8</v>
      </c>
      <c r="M29" s="2" t="s">
        <v>9</v>
      </c>
      <c r="N29" s="5" t="s">
        <v>93</v>
      </c>
      <c r="O29" s="2" t="s">
        <v>80</v>
      </c>
      <c r="P29" s="2" t="s">
        <v>109</v>
      </c>
      <c r="Q29" s="4">
        <f>ABS(N29+P29)</f>
        <v>1300</v>
      </c>
    </row>
    <row r="30" spans="1:17" x14ac:dyDescent="0.35">
      <c r="A30" s="1" t="s">
        <v>307</v>
      </c>
      <c r="B30" s="2" t="s">
        <v>120</v>
      </c>
      <c r="C30" s="3">
        <v>44727</v>
      </c>
      <c r="D30" s="3">
        <v>44734</v>
      </c>
      <c r="E30" s="3" t="str">
        <f>TEXT(Travel_details_dataset3[[#This Row],[Start date]],"mmm")</f>
        <v>Jun</v>
      </c>
      <c r="F30" s="1">
        <v>7</v>
      </c>
      <c r="G30" s="1" t="str">
        <f>IF(Travel_details_dataset3[[#This Row],[Duration (days)]] &lt;7,"Short","Long")</f>
        <v>Long</v>
      </c>
      <c r="H30" s="2" t="s">
        <v>121</v>
      </c>
      <c r="I30" s="1">
        <v>45</v>
      </c>
      <c r="J30" s="1" t="str">
        <f>IF(Travel_details_dataset3[[#This Row],[Age]]&lt;25,"Youth","Adult")</f>
        <v>Adult</v>
      </c>
      <c r="K30" s="2" t="s">
        <v>7</v>
      </c>
      <c r="L30" s="2" t="s">
        <v>16</v>
      </c>
      <c r="M30" s="2" t="s">
        <v>42</v>
      </c>
      <c r="N30" s="5" t="s">
        <v>122</v>
      </c>
      <c r="O30" s="2" t="s">
        <v>34</v>
      </c>
      <c r="P30" s="2" t="s">
        <v>89</v>
      </c>
      <c r="Q30" s="4">
        <f>ABS(N30+P30)</f>
        <v>350</v>
      </c>
    </row>
    <row r="31" spans="1:17" x14ac:dyDescent="0.35">
      <c r="A31" s="1" t="s">
        <v>308</v>
      </c>
      <c r="B31" s="2" t="s">
        <v>123</v>
      </c>
      <c r="C31" s="3">
        <v>44744</v>
      </c>
      <c r="D31" s="3">
        <v>44753</v>
      </c>
      <c r="E31" s="3" t="str">
        <f>TEXT(Travel_details_dataset3[[#This Row],[Start date]],"mmm")</f>
        <v>Jul</v>
      </c>
      <c r="F31" s="1">
        <v>9</v>
      </c>
      <c r="G31" s="1" t="str">
        <f>IF(Travel_details_dataset3[[#This Row],[Duration (days)]] &lt;7,"Short","Long")</f>
        <v>Long</v>
      </c>
      <c r="H31" s="2" t="s">
        <v>124</v>
      </c>
      <c r="I31" s="1">
        <v>25</v>
      </c>
      <c r="J31" s="1" t="str">
        <f>IF(Travel_details_dataset3[[#This Row],[Age]]&lt;25,"Youth","Adult")</f>
        <v>Adult</v>
      </c>
      <c r="K31" s="2" t="s">
        <v>7</v>
      </c>
      <c r="L31" s="2" t="s">
        <v>22</v>
      </c>
      <c r="M31" s="2" t="s">
        <v>33</v>
      </c>
      <c r="N31" s="5" t="s">
        <v>96</v>
      </c>
      <c r="O31" s="2" t="s">
        <v>125</v>
      </c>
      <c r="P31" s="2" t="s">
        <v>126</v>
      </c>
      <c r="Q31" s="4">
        <f>ABS(N31+P31)</f>
        <v>900</v>
      </c>
    </row>
    <row r="32" spans="1:17" x14ac:dyDescent="0.35">
      <c r="A32" s="1" t="s">
        <v>309</v>
      </c>
      <c r="B32" s="2" t="s">
        <v>127</v>
      </c>
      <c r="C32" s="3">
        <v>44793</v>
      </c>
      <c r="D32" s="3">
        <v>44806</v>
      </c>
      <c r="E32" s="3" t="str">
        <f>TEXT(Travel_details_dataset3[[#This Row],[Start date]],"mmm")</f>
        <v>Aug</v>
      </c>
      <c r="F32" s="1">
        <v>13</v>
      </c>
      <c r="G32" s="1" t="str">
        <f>IF(Travel_details_dataset3[[#This Row],[Duration (days)]] &lt;7,"Short","Long")</f>
        <v>Long</v>
      </c>
      <c r="H32" s="2" t="s">
        <v>128</v>
      </c>
      <c r="I32" s="1">
        <v>28</v>
      </c>
      <c r="J32" s="1" t="str">
        <f>IF(Travel_details_dataset3[[#This Row],[Age]]&lt;25,"Youth","Adult")</f>
        <v>Adult</v>
      </c>
      <c r="K32" s="2" t="s">
        <v>15</v>
      </c>
      <c r="L32" s="2" t="s">
        <v>28</v>
      </c>
      <c r="M32" s="2" t="s">
        <v>9</v>
      </c>
      <c r="N32" s="5" t="s">
        <v>101</v>
      </c>
      <c r="O32" s="2" t="s">
        <v>125</v>
      </c>
      <c r="P32" s="2" t="s">
        <v>109</v>
      </c>
      <c r="Q32" s="4">
        <f>ABS(N32+P32)</f>
        <v>1500</v>
      </c>
    </row>
    <row r="33" spans="1:17" x14ac:dyDescent="0.35">
      <c r="A33" s="1" t="s">
        <v>310</v>
      </c>
      <c r="B33" s="2" t="s">
        <v>129</v>
      </c>
      <c r="C33" s="3">
        <v>44809</v>
      </c>
      <c r="D33" s="3">
        <v>44818</v>
      </c>
      <c r="E33" s="3" t="str">
        <f>TEXT(Travel_details_dataset3[[#This Row],[Start date]],"mmm")</f>
        <v>Sep</v>
      </c>
      <c r="F33" s="1">
        <v>9</v>
      </c>
      <c r="G33" s="1" t="str">
        <f>IF(Travel_details_dataset3[[#This Row],[Duration (days)]] &lt;7,"Short","Long")</f>
        <v>Long</v>
      </c>
      <c r="H33" s="2" t="s">
        <v>130</v>
      </c>
      <c r="I33" s="1">
        <v>18</v>
      </c>
      <c r="J33" s="1" t="str">
        <f>IF(Travel_details_dataset3[[#This Row],[Age]]&lt;25,"Youth","Adult")</f>
        <v>Youth</v>
      </c>
      <c r="K33" s="2" t="s">
        <v>15</v>
      </c>
      <c r="L33" s="2" t="s">
        <v>41</v>
      </c>
      <c r="M33" s="2" t="s">
        <v>42</v>
      </c>
      <c r="N33" s="5" t="s">
        <v>89</v>
      </c>
      <c r="O33" s="2" t="s">
        <v>97</v>
      </c>
      <c r="P33" s="2" t="s">
        <v>131</v>
      </c>
      <c r="Q33" s="4">
        <f>ABS(N33+P33)</f>
        <v>200</v>
      </c>
    </row>
    <row r="34" spans="1:17" x14ac:dyDescent="0.35">
      <c r="A34" s="1" t="s">
        <v>311</v>
      </c>
      <c r="B34" s="2" t="s">
        <v>132</v>
      </c>
      <c r="C34" s="3">
        <v>44846</v>
      </c>
      <c r="D34" s="3">
        <v>44854</v>
      </c>
      <c r="E34" s="3" t="str">
        <f>TEXT(Travel_details_dataset3[[#This Row],[Start date]],"mmm")</f>
        <v>Oct</v>
      </c>
      <c r="F34" s="1">
        <v>8</v>
      </c>
      <c r="G34" s="1" t="str">
        <f>IF(Travel_details_dataset3[[#This Row],[Duration (days)]] &lt;7,"Short","Long")</f>
        <v>Long</v>
      </c>
      <c r="H34" s="2" t="s">
        <v>133</v>
      </c>
      <c r="I34" s="1">
        <v>20</v>
      </c>
      <c r="J34" s="1" t="str">
        <f>IF(Travel_details_dataset3[[#This Row],[Age]]&lt;25,"Youth","Adult")</f>
        <v>Youth</v>
      </c>
      <c r="K34" s="2" t="s">
        <v>7</v>
      </c>
      <c r="L34" s="2" t="s">
        <v>8</v>
      </c>
      <c r="M34" s="2" t="s">
        <v>33</v>
      </c>
      <c r="N34" s="5" t="s">
        <v>81</v>
      </c>
      <c r="O34" s="2" t="s">
        <v>80</v>
      </c>
      <c r="P34" s="2" t="s">
        <v>96</v>
      </c>
      <c r="Q34" s="4">
        <f>ABS(N34+P34)</f>
        <v>1000</v>
      </c>
    </row>
    <row r="35" spans="1:17" x14ac:dyDescent="0.35">
      <c r="A35" s="1" t="s">
        <v>312</v>
      </c>
      <c r="B35" s="2" t="s">
        <v>134</v>
      </c>
      <c r="C35" s="3">
        <v>44873</v>
      </c>
      <c r="D35" s="3">
        <v>44880</v>
      </c>
      <c r="E35" s="3" t="str">
        <f>TEXT(Travel_details_dataset3[[#This Row],[Start date]],"mmm")</f>
        <v>Nov</v>
      </c>
      <c r="F35" s="1">
        <v>7</v>
      </c>
      <c r="G35" s="1" t="str">
        <f>IF(Travel_details_dataset3[[#This Row],[Duration (days)]] &lt;7,"Short","Long")</f>
        <v>Long</v>
      </c>
      <c r="H35" s="2" t="s">
        <v>135</v>
      </c>
      <c r="I35" s="1">
        <v>37</v>
      </c>
      <c r="J35" s="1" t="str">
        <f>IF(Travel_details_dataset3[[#This Row],[Age]]&lt;25,"Youth","Adult")</f>
        <v>Adult</v>
      </c>
      <c r="K35" s="2" t="s">
        <v>15</v>
      </c>
      <c r="L35" s="2" t="s">
        <v>16</v>
      </c>
      <c r="M35" s="2" t="s">
        <v>9</v>
      </c>
      <c r="N35" s="5" t="s">
        <v>85</v>
      </c>
      <c r="O35" s="2" t="s">
        <v>34</v>
      </c>
      <c r="P35" s="2" t="s">
        <v>98</v>
      </c>
      <c r="Q35" s="4">
        <f>ABS(N35+P35)</f>
        <v>800</v>
      </c>
    </row>
    <row r="36" spans="1:17" x14ac:dyDescent="0.35">
      <c r="A36" s="1" t="s">
        <v>313</v>
      </c>
      <c r="B36" s="2" t="s">
        <v>136</v>
      </c>
      <c r="C36" s="3">
        <v>44931</v>
      </c>
      <c r="D36" s="3">
        <v>44941</v>
      </c>
      <c r="E36" s="3" t="str">
        <f>TEXT(Travel_details_dataset3[[#This Row],[Start date]],"mmm")</f>
        <v>Jan</v>
      </c>
      <c r="F36" s="1">
        <v>10</v>
      </c>
      <c r="G36" s="1" t="str">
        <f>IF(Travel_details_dataset3[[#This Row],[Duration (days)]] &lt;7,"Short","Long")</f>
        <v>Long</v>
      </c>
      <c r="H36" s="2" t="s">
        <v>137</v>
      </c>
      <c r="I36" s="1">
        <v>42</v>
      </c>
      <c r="J36" s="1" t="str">
        <f>IF(Travel_details_dataset3[[#This Row],[Age]]&lt;25,"Youth","Adult")</f>
        <v>Adult</v>
      </c>
      <c r="K36" s="2" t="s">
        <v>7</v>
      </c>
      <c r="L36" s="2" t="s">
        <v>28</v>
      </c>
      <c r="M36" s="2" t="s">
        <v>33</v>
      </c>
      <c r="N36" s="5" t="s">
        <v>109</v>
      </c>
      <c r="O36" s="2" t="s">
        <v>80</v>
      </c>
      <c r="P36" s="2" t="s">
        <v>93</v>
      </c>
      <c r="Q36" s="4">
        <f>ABS(N36+P36)</f>
        <v>1300</v>
      </c>
    </row>
    <row r="37" spans="1:17" x14ac:dyDescent="0.35">
      <c r="A37" s="1" t="s">
        <v>314</v>
      </c>
      <c r="B37" s="2" t="s">
        <v>138</v>
      </c>
      <c r="C37" s="3">
        <v>44971</v>
      </c>
      <c r="D37" s="3">
        <v>44977</v>
      </c>
      <c r="E37" s="3" t="str">
        <f>TEXT(Travel_details_dataset3[[#This Row],[Start date]],"mmm")</f>
        <v>Feb</v>
      </c>
      <c r="F37" s="1">
        <v>6</v>
      </c>
      <c r="G37" s="1" t="str">
        <f>IF(Travel_details_dataset3[[#This Row],[Duration (days)]] &lt;7,"Short","Long")</f>
        <v>Short</v>
      </c>
      <c r="H37" s="2" t="s">
        <v>139</v>
      </c>
      <c r="I37" s="1">
        <v>31</v>
      </c>
      <c r="J37" s="1" t="str">
        <f>IF(Travel_details_dataset3[[#This Row],[Age]]&lt;25,"Youth","Adult")</f>
        <v>Adult</v>
      </c>
      <c r="K37" s="2" t="s">
        <v>15</v>
      </c>
      <c r="L37" s="2" t="s">
        <v>8</v>
      </c>
      <c r="M37" s="2" t="s">
        <v>42</v>
      </c>
      <c r="N37" s="5" t="s">
        <v>140</v>
      </c>
      <c r="O37" s="2" t="s">
        <v>34</v>
      </c>
      <c r="P37" s="2" t="s">
        <v>141</v>
      </c>
      <c r="Q37" s="4">
        <f>ABS(N37+P37)</f>
        <v>300</v>
      </c>
    </row>
    <row r="38" spans="1:17" x14ac:dyDescent="0.35">
      <c r="A38" s="1" t="s">
        <v>315</v>
      </c>
      <c r="B38" s="2" t="s">
        <v>142</v>
      </c>
      <c r="C38" s="3">
        <v>45008</v>
      </c>
      <c r="D38" s="3">
        <v>45016</v>
      </c>
      <c r="E38" s="3" t="str">
        <f>TEXT(Travel_details_dataset3[[#This Row],[Start date]],"mmm")</f>
        <v>Mar</v>
      </c>
      <c r="F38" s="1">
        <v>8</v>
      </c>
      <c r="G38" s="1" t="str">
        <f>IF(Travel_details_dataset3[[#This Row],[Duration (days)]] &lt;7,"Short","Long")</f>
        <v>Long</v>
      </c>
      <c r="H38" s="2" t="s">
        <v>143</v>
      </c>
      <c r="I38" s="1">
        <v>27</v>
      </c>
      <c r="J38" s="1" t="str">
        <f>IF(Travel_details_dataset3[[#This Row],[Age]]&lt;25,"Youth","Adult")</f>
        <v>Adult</v>
      </c>
      <c r="K38" s="2" t="s">
        <v>7</v>
      </c>
      <c r="L38" s="2" t="s">
        <v>22</v>
      </c>
      <c r="M38" s="2" t="s">
        <v>9</v>
      </c>
      <c r="N38" s="5" t="s">
        <v>79</v>
      </c>
      <c r="O38" s="2" t="s">
        <v>125</v>
      </c>
      <c r="P38" s="2" t="s">
        <v>81</v>
      </c>
      <c r="Q38" s="4">
        <f>ABS(N38+P38)</f>
        <v>1300</v>
      </c>
    </row>
    <row r="39" spans="1:17" x14ac:dyDescent="0.35">
      <c r="A39" s="1" t="s">
        <v>316</v>
      </c>
      <c r="B39" s="2" t="s">
        <v>144</v>
      </c>
      <c r="C39" s="3">
        <v>45035</v>
      </c>
      <c r="D39" s="3">
        <v>45042</v>
      </c>
      <c r="E39" s="3" t="str">
        <f>TEXT(Travel_details_dataset3[[#This Row],[Start date]],"mmm")</f>
        <v>Apr</v>
      </c>
      <c r="F39" s="1">
        <v>7</v>
      </c>
      <c r="G39" s="1" t="str">
        <f>IF(Travel_details_dataset3[[#This Row],[Duration (days)]] &lt;7,"Short","Long")</f>
        <v>Long</v>
      </c>
      <c r="H39" s="2" t="s">
        <v>145</v>
      </c>
      <c r="I39" s="1">
        <v>18</v>
      </c>
      <c r="J39" s="1" t="str">
        <f>IF(Travel_details_dataset3[[#This Row],[Age]]&lt;25,"Youth","Adult")</f>
        <v>Youth</v>
      </c>
      <c r="K39" s="2" t="s">
        <v>15</v>
      </c>
      <c r="L39" s="2" t="s">
        <v>41</v>
      </c>
      <c r="M39" s="2" t="s">
        <v>33</v>
      </c>
      <c r="N39" s="5" t="s">
        <v>146</v>
      </c>
      <c r="O39" s="2" t="s">
        <v>97</v>
      </c>
      <c r="P39" s="2" t="s">
        <v>147</v>
      </c>
      <c r="Q39" s="4">
        <f>ABS(N39+P39)</f>
        <v>425</v>
      </c>
    </row>
    <row r="40" spans="1:17" x14ac:dyDescent="0.35">
      <c r="A40" s="1" t="s">
        <v>317</v>
      </c>
      <c r="B40" s="2" t="s">
        <v>36</v>
      </c>
      <c r="C40" s="3">
        <v>44724</v>
      </c>
      <c r="D40" s="3">
        <v>44731</v>
      </c>
      <c r="E40" s="3" t="str">
        <f>TEXT(Travel_details_dataset3[[#This Row],[Start date]],"mmm")</f>
        <v>Jun</v>
      </c>
      <c r="F40" s="1">
        <v>7</v>
      </c>
      <c r="G40" s="1" t="str">
        <f>IF(Travel_details_dataset3[[#This Row],[Duration (days)]] &lt;7,"Short","Long")</f>
        <v>Long</v>
      </c>
      <c r="H40" s="2" t="s">
        <v>139</v>
      </c>
      <c r="I40" s="1">
        <v>25</v>
      </c>
      <c r="J40" s="1" t="str">
        <f>IF(Travel_details_dataset3[[#This Row],[Age]]&lt;25,"Youth","Adult")</f>
        <v>Adult</v>
      </c>
      <c r="K40" s="2" t="s">
        <v>15</v>
      </c>
      <c r="L40" s="2" t="s">
        <v>8</v>
      </c>
      <c r="M40" s="2" t="s">
        <v>9</v>
      </c>
      <c r="N40" s="5" t="s">
        <v>68</v>
      </c>
      <c r="O40" s="2" t="s">
        <v>80</v>
      </c>
      <c r="P40" s="2" t="s">
        <v>12</v>
      </c>
      <c r="Q40" s="4">
        <f>ABS(N40+P40)</f>
        <v>2000</v>
      </c>
    </row>
    <row r="41" spans="1:17" x14ac:dyDescent="0.35">
      <c r="A41" s="1" t="s">
        <v>318</v>
      </c>
      <c r="B41" s="2" t="s">
        <v>39</v>
      </c>
      <c r="C41" s="3">
        <v>44928</v>
      </c>
      <c r="D41" s="3">
        <v>44935</v>
      </c>
      <c r="E41" s="3" t="str">
        <f>TEXT(Travel_details_dataset3[[#This Row],[Start date]],"mmm")</f>
        <v>Jan</v>
      </c>
      <c r="F41" s="1">
        <v>7</v>
      </c>
      <c r="G41" s="1" t="str">
        <f>IF(Travel_details_dataset3[[#This Row],[Duration (days)]] &lt;7,"Short","Long")</f>
        <v>Long</v>
      </c>
      <c r="H41" s="2" t="s">
        <v>148</v>
      </c>
      <c r="I41" s="1">
        <v>33</v>
      </c>
      <c r="J41" s="1" t="str">
        <f>IF(Travel_details_dataset3[[#This Row],[Age]]&lt;25,"Youth","Adult")</f>
        <v>Adult</v>
      </c>
      <c r="K41" s="2" t="s">
        <v>7</v>
      </c>
      <c r="L41" s="2" t="s">
        <v>16</v>
      </c>
      <c r="M41" s="2" t="s">
        <v>33</v>
      </c>
      <c r="N41" s="5" t="s">
        <v>18</v>
      </c>
      <c r="O41" s="2" t="s">
        <v>34</v>
      </c>
      <c r="P41" s="2" t="s">
        <v>77</v>
      </c>
      <c r="Q41" s="4">
        <f>ABS(N41+P41)</f>
        <v>950</v>
      </c>
    </row>
    <row r="42" spans="1:17" x14ac:dyDescent="0.35">
      <c r="A42" s="1" t="s">
        <v>319</v>
      </c>
      <c r="B42" s="2" t="s">
        <v>30</v>
      </c>
      <c r="C42" s="3">
        <v>44905</v>
      </c>
      <c r="D42" s="3">
        <v>44913</v>
      </c>
      <c r="E42" s="3" t="str">
        <f>TEXT(Travel_details_dataset3[[#This Row],[Start date]],"mmm")</f>
        <v>Dec</v>
      </c>
      <c r="F42" s="1">
        <v>8</v>
      </c>
      <c r="G42" s="1" t="str">
        <f>IF(Travel_details_dataset3[[#This Row],[Duration (days)]] &lt;7,"Short","Long")</f>
        <v>Long</v>
      </c>
      <c r="H42" s="2" t="s">
        <v>149</v>
      </c>
      <c r="I42" s="1">
        <v>18</v>
      </c>
      <c r="J42" s="1" t="str">
        <f>IF(Travel_details_dataset3[[#This Row],[Age]]&lt;25,"Youth","Adult")</f>
        <v>Youth</v>
      </c>
      <c r="K42" s="2" t="s">
        <v>15</v>
      </c>
      <c r="L42" s="2" t="s">
        <v>63</v>
      </c>
      <c r="M42" s="2" t="s">
        <v>42</v>
      </c>
      <c r="N42" s="5" t="s">
        <v>19</v>
      </c>
      <c r="O42" s="2" t="s">
        <v>80</v>
      </c>
      <c r="P42" s="2" t="s">
        <v>46</v>
      </c>
      <c r="Q42" s="4">
        <f>ABS(N42+P42)</f>
        <v>1400</v>
      </c>
    </row>
    <row r="43" spans="1:17" x14ac:dyDescent="0.35">
      <c r="A43" s="1" t="s">
        <v>320</v>
      </c>
      <c r="B43" s="2" t="s">
        <v>54</v>
      </c>
      <c r="C43" s="3">
        <v>45108</v>
      </c>
      <c r="D43" s="3">
        <v>45115</v>
      </c>
      <c r="E43" s="3" t="str">
        <f>TEXT(Travel_details_dataset3[[#This Row],[Start date]],"mmm")</f>
        <v>Jul</v>
      </c>
      <c r="F43" s="1">
        <v>7</v>
      </c>
      <c r="G43" s="1" t="str">
        <f>IF(Travel_details_dataset3[[#This Row],[Duration (days)]] &lt;7,"Short","Long")</f>
        <v>Long</v>
      </c>
      <c r="H43" s="2" t="s">
        <v>6</v>
      </c>
      <c r="I43" s="1">
        <v>45</v>
      </c>
      <c r="J43" s="1" t="str">
        <f>IF(Travel_details_dataset3[[#This Row],[Age]]&lt;25,"Youth","Adult")</f>
        <v>Adult</v>
      </c>
      <c r="K43" s="2" t="s">
        <v>7</v>
      </c>
      <c r="L43" s="2" t="s">
        <v>8</v>
      </c>
      <c r="M43" s="2" t="s">
        <v>17</v>
      </c>
      <c r="N43" s="5" t="s">
        <v>150</v>
      </c>
      <c r="O43" s="2" t="s">
        <v>80</v>
      </c>
      <c r="P43" s="2" t="s">
        <v>18</v>
      </c>
      <c r="Q43" s="4">
        <f>ABS(N43+P43)</f>
        <v>3000</v>
      </c>
    </row>
    <row r="44" spans="1:17" x14ac:dyDescent="0.35">
      <c r="A44" s="1" t="s">
        <v>321</v>
      </c>
      <c r="B44" s="2" t="s">
        <v>43</v>
      </c>
      <c r="C44" s="3">
        <v>44885</v>
      </c>
      <c r="D44" s="3">
        <v>44892</v>
      </c>
      <c r="E44" s="3" t="str">
        <f>TEXT(Travel_details_dataset3[[#This Row],[Start date]],"mmm")</f>
        <v>Nov</v>
      </c>
      <c r="F44" s="1">
        <v>7</v>
      </c>
      <c r="G44" s="1" t="str">
        <f>IF(Travel_details_dataset3[[#This Row],[Duration (days)]] &lt;7,"Short","Long")</f>
        <v>Long</v>
      </c>
      <c r="H44" s="2" t="s">
        <v>151</v>
      </c>
      <c r="I44" s="1">
        <v>30</v>
      </c>
      <c r="J44" s="1" t="str">
        <f>IF(Travel_details_dataset3[[#This Row],[Age]]&lt;25,"Youth","Adult")</f>
        <v>Adult</v>
      </c>
      <c r="K44" s="2" t="s">
        <v>15</v>
      </c>
      <c r="L44" s="2" t="s">
        <v>45</v>
      </c>
      <c r="M44" s="2" t="s">
        <v>9</v>
      </c>
      <c r="N44" s="5" t="s">
        <v>10</v>
      </c>
      <c r="O44" s="2" t="s">
        <v>80</v>
      </c>
      <c r="P44" s="2" t="s">
        <v>25</v>
      </c>
      <c r="Q44" s="4">
        <f>ABS(N44+P44)</f>
        <v>1900</v>
      </c>
    </row>
    <row r="45" spans="1:17" x14ac:dyDescent="0.35">
      <c r="A45" s="1" t="s">
        <v>322</v>
      </c>
      <c r="B45" s="2" t="s">
        <v>5</v>
      </c>
      <c r="C45" s="3">
        <v>44990</v>
      </c>
      <c r="D45" s="3">
        <v>44997</v>
      </c>
      <c r="E45" s="3" t="str">
        <f>TEXT(Travel_details_dataset3[[#This Row],[Start date]],"mmm")</f>
        <v>Mar</v>
      </c>
      <c r="F45" s="1">
        <v>7</v>
      </c>
      <c r="G45" s="1" t="str">
        <f>IF(Travel_details_dataset3[[#This Row],[Duration (days)]] &lt;7,"Short","Long")</f>
        <v>Long</v>
      </c>
      <c r="H45" s="2" t="s">
        <v>152</v>
      </c>
      <c r="I45" s="1">
        <v>55</v>
      </c>
      <c r="J45" s="1" t="str">
        <f>IF(Travel_details_dataset3[[#This Row],[Age]]&lt;25,"Youth","Adult")</f>
        <v>Adult</v>
      </c>
      <c r="K45" s="2" t="s">
        <v>7</v>
      </c>
      <c r="L45" s="2" t="s">
        <v>28</v>
      </c>
      <c r="M45" s="2" t="s">
        <v>33</v>
      </c>
      <c r="N45" s="5" t="s">
        <v>46</v>
      </c>
      <c r="O45" s="2" t="s">
        <v>34</v>
      </c>
      <c r="P45" s="2" t="s">
        <v>60</v>
      </c>
      <c r="Q45" s="4">
        <f>ABS(N45+P45)</f>
        <v>1000</v>
      </c>
    </row>
    <row r="46" spans="1:17" x14ac:dyDescent="0.35">
      <c r="A46" s="1" t="s">
        <v>323</v>
      </c>
      <c r="B46" s="2" t="s">
        <v>57</v>
      </c>
      <c r="C46" s="3">
        <v>45156</v>
      </c>
      <c r="D46" s="3">
        <v>45163</v>
      </c>
      <c r="E46" s="3" t="str">
        <f>TEXT(Travel_details_dataset3[[#This Row],[Start date]],"mmm")</f>
        <v>Aug</v>
      </c>
      <c r="F46" s="1">
        <v>7</v>
      </c>
      <c r="G46" s="1" t="str">
        <f>IF(Travel_details_dataset3[[#This Row],[Duration (days)]] &lt;7,"Short","Long")</f>
        <v>Long</v>
      </c>
      <c r="H46" s="2" t="s">
        <v>153</v>
      </c>
      <c r="I46" s="1">
        <v>27</v>
      </c>
      <c r="J46" s="1" t="str">
        <f>IF(Travel_details_dataset3[[#This Row],[Age]]&lt;25,"Youth","Adult")</f>
        <v>Adult</v>
      </c>
      <c r="K46" s="2" t="s">
        <v>15</v>
      </c>
      <c r="L46" s="2" t="s">
        <v>59</v>
      </c>
      <c r="M46" s="2" t="s">
        <v>42</v>
      </c>
      <c r="N46" s="5" t="s">
        <v>12</v>
      </c>
      <c r="O46" s="2" t="s">
        <v>80</v>
      </c>
      <c r="P46" s="2" t="s">
        <v>12</v>
      </c>
      <c r="Q46" s="4">
        <f>ABS(N46+P46)</f>
        <v>1200</v>
      </c>
    </row>
    <row r="47" spans="1:17" x14ac:dyDescent="0.35">
      <c r="A47" s="1" t="s">
        <v>324</v>
      </c>
      <c r="B47" s="2" t="s">
        <v>154</v>
      </c>
      <c r="C47" s="3">
        <v>44819</v>
      </c>
      <c r="D47" s="3">
        <v>44826</v>
      </c>
      <c r="E47" s="3" t="str">
        <f>TEXT(Travel_details_dataset3[[#This Row],[Start date]],"mmm")</f>
        <v>Sep</v>
      </c>
      <c r="F47" s="1">
        <v>7</v>
      </c>
      <c r="G47" s="1" t="str">
        <f>IF(Travel_details_dataset3[[#This Row],[Duration (days)]] &lt;7,"Short","Long")</f>
        <v>Long</v>
      </c>
      <c r="H47" s="2" t="s">
        <v>155</v>
      </c>
      <c r="I47" s="1">
        <v>41</v>
      </c>
      <c r="J47" s="1" t="str">
        <f>IF(Travel_details_dataset3[[#This Row],[Age]]&lt;25,"Youth","Adult")</f>
        <v>Adult</v>
      </c>
      <c r="K47" s="2" t="s">
        <v>7</v>
      </c>
      <c r="L47" s="2" t="s">
        <v>8</v>
      </c>
      <c r="M47" s="2" t="s">
        <v>9</v>
      </c>
      <c r="N47" s="5" t="s">
        <v>38</v>
      </c>
      <c r="O47" s="2" t="s">
        <v>80</v>
      </c>
      <c r="P47" s="2" t="s">
        <v>19</v>
      </c>
      <c r="Q47" s="4">
        <f>ABS(N47+P47)</f>
        <v>2000</v>
      </c>
    </row>
    <row r="48" spans="1:17" x14ac:dyDescent="0.35">
      <c r="A48" s="1" t="s">
        <v>325</v>
      </c>
      <c r="B48" s="2" t="s">
        <v>156</v>
      </c>
      <c r="C48" s="3">
        <v>45047</v>
      </c>
      <c r="D48" s="3">
        <v>45053</v>
      </c>
      <c r="E48" s="3" t="str">
        <f>TEXT(Travel_details_dataset3[[#This Row],[Start date]],"mmm")</f>
        <v>May</v>
      </c>
      <c r="F48" s="1">
        <v>6</v>
      </c>
      <c r="G48" s="1" t="str">
        <f>IF(Travel_details_dataset3[[#This Row],[Duration (days)]] &lt;7,"Short","Long")</f>
        <v>Short</v>
      </c>
      <c r="H48" s="2" t="s">
        <v>157</v>
      </c>
      <c r="I48" s="1">
        <v>29</v>
      </c>
      <c r="J48" s="1" t="str">
        <f>IF(Travel_details_dataset3[[#This Row],[Age]]&lt;25,"Youth","Adult")</f>
        <v>Adult</v>
      </c>
      <c r="K48" s="2" t="s">
        <v>15</v>
      </c>
      <c r="L48" s="2" t="s">
        <v>108</v>
      </c>
      <c r="M48" s="2" t="s">
        <v>33</v>
      </c>
      <c r="N48" s="5" t="s">
        <v>19</v>
      </c>
      <c r="O48" s="2" t="s">
        <v>97</v>
      </c>
      <c r="P48" s="2" t="s">
        <v>158</v>
      </c>
      <c r="Q48" s="4">
        <f>ABS(N48+P48)</f>
        <v>550</v>
      </c>
    </row>
    <row r="49" spans="1:17" x14ac:dyDescent="0.35">
      <c r="A49" s="1" t="s">
        <v>326</v>
      </c>
      <c r="B49" s="2" t="s">
        <v>159</v>
      </c>
      <c r="C49" s="3">
        <v>44752</v>
      </c>
      <c r="D49" s="3">
        <v>44759</v>
      </c>
      <c r="E49" s="3" t="str">
        <f>TEXT(Travel_details_dataset3[[#This Row],[Start date]],"mmm")</f>
        <v>Jul</v>
      </c>
      <c r="F49" s="1">
        <v>7</v>
      </c>
      <c r="G49" s="1" t="str">
        <f>IF(Travel_details_dataset3[[#This Row],[Duration (days)]] &lt;7,"Short","Long")</f>
        <v>Long</v>
      </c>
      <c r="H49" s="2" t="s">
        <v>160</v>
      </c>
      <c r="I49" s="1">
        <v>18</v>
      </c>
      <c r="J49" s="1" t="str">
        <f>IF(Travel_details_dataset3[[#This Row],[Age]]&lt;25,"Youth","Adult")</f>
        <v>Youth</v>
      </c>
      <c r="K49" s="2" t="s">
        <v>7</v>
      </c>
      <c r="L49" s="2" t="s">
        <v>22</v>
      </c>
      <c r="M49" s="2" t="s">
        <v>42</v>
      </c>
      <c r="N49" s="5" t="s">
        <v>73</v>
      </c>
      <c r="O49" s="2" t="s">
        <v>34</v>
      </c>
      <c r="P49" s="2" t="s">
        <v>77</v>
      </c>
      <c r="Q49" s="4">
        <f>ABS(N49+P49)</f>
        <v>550</v>
      </c>
    </row>
    <row r="50" spans="1:17" x14ac:dyDescent="0.35">
      <c r="A50" s="1" t="s">
        <v>327</v>
      </c>
      <c r="B50" s="2" t="s">
        <v>47</v>
      </c>
      <c r="C50" s="3">
        <v>45097</v>
      </c>
      <c r="D50" s="3">
        <v>45105</v>
      </c>
      <c r="E50" s="3" t="str">
        <f>TEXT(Travel_details_dataset3[[#This Row],[Start date]],"mmm")</f>
        <v>Jun</v>
      </c>
      <c r="F50" s="1">
        <v>8</v>
      </c>
      <c r="G50" s="1" t="str">
        <f>IF(Travel_details_dataset3[[#This Row],[Duration (days)]] &lt;7,"Short","Long")</f>
        <v>Long</v>
      </c>
      <c r="H50" s="2" t="s">
        <v>161</v>
      </c>
      <c r="I50" s="1">
        <v>31</v>
      </c>
      <c r="J50" s="1" t="str">
        <f>IF(Travel_details_dataset3[[#This Row],[Age]]&lt;25,"Youth","Adult")</f>
        <v>Adult</v>
      </c>
      <c r="K50" s="2" t="s">
        <v>15</v>
      </c>
      <c r="L50" s="2" t="s">
        <v>49</v>
      </c>
      <c r="M50" s="2" t="s">
        <v>9</v>
      </c>
      <c r="N50" s="5" t="s">
        <v>162</v>
      </c>
      <c r="O50" s="2" t="s">
        <v>80</v>
      </c>
      <c r="P50" s="2" t="s">
        <v>25</v>
      </c>
      <c r="Q50" s="4">
        <f>ABS(N50+P50)</f>
        <v>1800</v>
      </c>
    </row>
    <row r="51" spans="1:17" x14ac:dyDescent="0.35">
      <c r="A51" s="1" t="s">
        <v>328</v>
      </c>
      <c r="B51" s="2" t="s">
        <v>36</v>
      </c>
      <c r="C51" s="3">
        <v>45153</v>
      </c>
      <c r="D51" s="3">
        <v>45160</v>
      </c>
      <c r="E51" s="3" t="str">
        <f>TEXT(Travel_details_dataset3[[#This Row],[Start date]],"mmm")</f>
        <v>Aug</v>
      </c>
      <c r="F51" s="1">
        <v>7</v>
      </c>
      <c r="G51" s="1" t="str">
        <f>IF(Travel_details_dataset3[[#This Row],[Duration (days)]] &lt;7,"Short","Long")</f>
        <v>Long</v>
      </c>
      <c r="H51" s="2" t="s">
        <v>163</v>
      </c>
      <c r="I51" s="1">
        <v>31</v>
      </c>
      <c r="J51" s="1" t="str">
        <f>IF(Travel_details_dataset3[[#This Row],[Age]]&lt;25,"Youth","Adult")</f>
        <v>Adult</v>
      </c>
      <c r="K51" s="2" t="s">
        <v>15</v>
      </c>
      <c r="L51" s="2" t="s">
        <v>16</v>
      </c>
      <c r="M51" s="2" t="s">
        <v>9</v>
      </c>
      <c r="N51" s="5" t="s">
        <v>88</v>
      </c>
      <c r="O51" s="2" t="s">
        <v>34</v>
      </c>
      <c r="P51" s="2" t="s">
        <v>126</v>
      </c>
      <c r="Q51" s="4">
        <f>ABS(N51+P51)</f>
        <v>1500</v>
      </c>
    </row>
    <row r="52" spans="1:17" x14ac:dyDescent="0.35">
      <c r="A52" s="1" t="s">
        <v>329</v>
      </c>
      <c r="B52" s="2" t="s">
        <v>30</v>
      </c>
      <c r="C52" s="3">
        <v>45209</v>
      </c>
      <c r="D52" s="3">
        <v>45219</v>
      </c>
      <c r="E52" s="3" t="str">
        <f>TEXT(Travel_details_dataset3[[#This Row],[Start date]],"mmm")</f>
        <v>Oct</v>
      </c>
      <c r="F52" s="1">
        <v>10</v>
      </c>
      <c r="G52" s="1" t="str">
        <f>IF(Travel_details_dataset3[[#This Row],[Duration (days)]] &lt;7,"Short","Long")</f>
        <v>Long</v>
      </c>
      <c r="H52" s="2" t="s">
        <v>113</v>
      </c>
      <c r="I52" s="1">
        <v>25</v>
      </c>
      <c r="J52" s="1" t="str">
        <f>IF(Travel_details_dataset3[[#This Row],[Age]]&lt;25,"Youth","Adult")</f>
        <v>Adult</v>
      </c>
      <c r="K52" s="2" t="s">
        <v>7</v>
      </c>
      <c r="L52" s="2" t="s">
        <v>8</v>
      </c>
      <c r="M52" s="2" t="s">
        <v>42</v>
      </c>
      <c r="N52" s="5" t="s">
        <v>109</v>
      </c>
      <c r="O52" s="2" t="s">
        <v>97</v>
      </c>
      <c r="P52" s="2" t="s">
        <v>98</v>
      </c>
      <c r="Q52" s="4">
        <f>ABS(N52+P52)</f>
        <v>600</v>
      </c>
    </row>
    <row r="53" spans="1:17" x14ac:dyDescent="0.35">
      <c r="A53" s="1" t="s">
        <v>330</v>
      </c>
      <c r="B53" s="2" t="s">
        <v>164</v>
      </c>
      <c r="C53" s="3">
        <v>45235</v>
      </c>
      <c r="D53" s="3">
        <v>45242</v>
      </c>
      <c r="E53" s="3" t="str">
        <f>TEXT(Travel_details_dataset3[[#This Row],[Start date]],"mmm")</f>
        <v>Nov</v>
      </c>
      <c r="F53" s="1">
        <v>7</v>
      </c>
      <c r="G53" s="1" t="str">
        <f>IF(Travel_details_dataset3[[#This Row],[Duration (days)]] &lt;7,"Short","Long")</f>
        <v>Long</v>
      </c>
      <c r="H53" s="2" t="s">
        <v>165</v>
      </c>
      <c r="I53" s="1">
        <v>27</v>
      </c>
      <c r="J53" s="1" t="str">
        <f>IF(Travel_details_dataset3[[#This Row],[Age]]&lt;25,"Youth","Adult")</f>
        <v>Adult</v>
      </c>
      <c r="K53" s="2" t="s">
        <v>15</v>
      </c>
      <c r="L53" s="2" t="s">
        <v>166</v>
      </c>
      <c r="M53" s="2" t="s">
        <v>33</v>
      </c>
      <c r="N53" s="5" t="s">
        <v>79</v>
      </c>
      <c r="O53" s="2" t="s">
        <v>125</v>
      </c>
      <c r="P53" s="2" t="s">
        <v>122</v>
      </c>
      <c r="Q53" s="4">
        <f>ABS(N53+P53)</f>
        <v>1100</v>
      </c>
    </row>
    <row r="54" spans="1:17" x14ac:dyDescent="0.35">
      <c r="A54" s="1" t="s">
        <v>331</v>
      </c>
      <c r="B54" s="2" t="s">
        <v>26</v>
      </c>
      <c r="C54" s="3">
        <v>45284</v>
      </c>
      <c r="D54" s="3">
        <v>45291</v>
      </c>
      <c r="E54" s="3" t="str">
        <f>TEXT(Travel_details_dataset3[[#This Row],[Start date]],"mmm")</f>
        <v>Dec</v>
      </c>
      <c r="F54" s="1">
        <v>7</v>
      </c>
      <c r="G54" s="1" t="str">
        <f>IF(Travel_details_dataset3[[#This Row],[Duration (days)]] &lt;7,"Short","Long")</f>
        <v>Long</v>
      </c>
      <c r="H54" s="2" t="s">
        <v>167</v>
      </c>
      <c r="I54" s="1">
        <v>28</v>
      </c>
      <c r="J54" s="1" t="str">
        <f>IF(Travel_details_dataset3[[#This Row],[Age]]&lt;25,"Youth","Adult")</f>
        <v>Adult</v>
      </c>
      <c r="K54" s="2" t="s">
        <v>15</v>
      </c>
      <c r="L54" s="2" t="s">
        <v>16</v>
      </c>
      <c r="M54" s="2" t="s">
        <v>9</v>
      </c>
      <c r="N54" s="5" t="s">
        <v>111</v>
      </c>
      <c r="O54" s="2" t="s">
        <v>11</v>
      </c>
      <c r="P54" s="2" t="s">
        <v>93</v>
      </c>
      <c r="Q54" s="4">
        <f>ABS(N54+P54)</f>
        <v>2200</v>
      </c>
    </row>
    <row r="55" spans="1:17" x14ac:dyDescent="0.35">
      <c r="A55" s="1" t="s">
        <v>332</v>
      </c>
      <c r="B55" s="2" t="s">
        <v>43</v>
      </c>
      <c r="C55" s="3">
        <v>45306</v>
      </c>
      <c r="D55" s="3">
        <v>45315</v>
      </c>
      <c r="E55" s="3" t="str">
        <f>TEXT(Travel_details_dataset3[[#This Row],[Start date]],"mmm")</f>
        <v>Jan</v>
      </c>
      <c r="F55" s="1">
        <v>9</v>
      </c>
      <c r="G55" s="1" t="str">
        <f>IF(Travel_details_dataset3[[#This Row],[Duration (days)]] &lt;7,"Short","Long")</f>
        <v>Long</v>
      </c>
      <c r="H55" s="2" t="s">
        <v>168</v>
      </c>
      <c r="I55" s="1">
        <v>30</v>
      </c>
      <c r="J55" s="1" t="str">
        <f>IF(Travel_details_dataset3[[#This Row],[Age]]&lt;25,"Youth","Adult")</f>
        <v>Adult</v>
      </c>
      <c r="K55" s="2" t="s">
        <v>7</v>
      </c>
      <c r="L55" s="2" t="s">
        <v>45</v>
      </c>
      <c r="M55" s="2" t="s">
        <v>33</v>
      </c>
      <c r="N55" s="5" t="s">
        <v>93</v>
      </c>
      <c r="O55" s="2" t="s">
        <v>34</v>
      </c>
      <c r="P55" s="2" t="s">
        <v>89</v>
      </c>
      <c r="Q55" s="4">
        <f>ABS(N55+P55)</f>
        <v>950</v>
      </c>
    </row>
    <row r="56" spans="1:17" x14ac:dyDescent="0.35">
      <c r="A56" s="1" t="s">
        <v>333</v>
      </c>
      <c r="B56" s="2" t="s">
        <v>156</v>
      </c>
      <c r="C56" s="3">
        <v>45323</v>
      </c>
      <c r="D56" s="3">
        <v>45331</v>
      </c>
      <c r="E56" s="3" t="str">
        <f>TEXT(Travel_details_dataset3[[#This Row],[Start date]],"mmm")</f>
        <v>Feb</v>
      </c>
      <c r="F56" s="1">
        <v>8</v>
      </c>
      <c r="G56" s="1" t="str">
        <f>IF(Travel_details_dataset3[[#This Row],[Duration (days)]] &lt;7,"Short","Long")</f>
        <v>Long</v>
      </c>
      <c r="H56" s="2" t="s">
        <v>169</v>
      </c>
      <c r="I56" s="1">
        <v>23</v>
      </c>
      <c r="J56" s="1" t="str">
        <f>IF(Travel_details_dataset3[[#This Row],[Age]]&lt;25,"Youth","Adult")</f>
        <v>Youth</v>
      </c>
      <c r="K56" s="2" t="s">
        <v>15</v>
      </c>
      <c r="L56" s="2" t="s">
        <v>108</v>
      </c>
      <c r="M56" s="2" t="s">
        <v>42</v>
      </c>
      <c r="N56" s="5" t="s">
        <v>81</v>
      </c>
      <c r="O56" s="2" t="s">
        <v>97</v>
      </c>
      <c r="P56" s="2" t="s">
        <v>131</v>
      </c>
      <c r="Q56" s="4">
        <f>ABS(N56+P56)</f>
        <v>450</v>
      </c>
    </row>
    <row r="57" spans="1:17" x14ac:dyDescent="0.35">
      <c r="A57" s="1" t="s">
        <v>334</v>
      </c>
      <c r="B57" s="2" t="s">
        <v>5</v>
      </c>
      <c r="C57" s="3">
        <v>45366</v>
      </c>
      <c r="D57" s="3">
        <v>45374</v>
      </c>
      <c r="E57" s="3" t="str">
        <f>TEXT(Travel_details_dataset3[[#This Row],[Start date]],"mmm")</f>
        <v>Mar</v>
      </c>
      <c r="F57" s="1">
        <v>8</v>
      </c>
      <c r="G57" s="1" t="str">
        <f>IF(Travel_details_dataset3[[#This Row],[Duration (days)]] &lt;7,"Short","Long")</f>
        <v>Long</v>
      </c>
      <c r="H57" s="2" t="s">
        <v>170</v>
      </c>
      <c r="I57" s="1">
        <v>18</v>
      </c>
      <c r="J57" s="1" t="str">
        <f>IF(Travel_details_dataset3[[#This Row],[Age]]&lt;25,"Youth","Adult")</f>
        <v>Youth</v>
      </c>
      <c r="K57" s="2" t="s">
        <v>7</v>
      </c>
      <c r="L57" s="2" t="s">
        <v>28</v>
      </c>
      <c r="M57" s="2" t="s">
        <v>9</v>
      </c>
      <c r="N57" s="5" t="s">
        <v>101</v>
      </c>
      <c r="O57" s="2" t="s">
        <v>34</v>
      </c>
      <c r="P57" s="2" t="s">
        <v>122</v>
      </c>
      <c r="Q57" s="4">
        <f>ABS(N57+P57)</f>
        <v>1200</v>
      </c>
    </row>
    <row r="58" spans="1:17" x14ac:dyDescent="0.35">
      <c r="A58" s="1" t="s">
        <v>335</v>
      </c>
      <c r="B58" s="2" t="s">
        <v>57</v>
      </c>
      <c r="C58" s="3">
        <v>45387</v>
      </c>
      <c r="D58" s="3">
        <v>45395</v>
      </c>
      <c r="E58" s="3" t="str">
        <f>TEXT(Travel_details_dataset3[[#This Row],[Start date]],"mmm")</f>
        <v>Apr</v>
      </c>
      <c r="F58" s="1">
        <v>8</v>
      </c>
      <c r="G58" s="1" t="str">
        <f>IF(Travel_details_dataset3[[#This Row],[Duration (days)]] &lt;7,"Short","Long")</f>
        <v>Long</v>
      </c>
      <c r="H58" s="2" t="s">
        <v>171</v>
      </c>
      <c r="I58" s="1">
        <v>18</v>
      </c>
      <c r="J58" s="1" t="str">
        <f>IF(Travel_details_dataset3[[#This Row],[Age]]&lt;25,"Youth","Adult")</f>
        <v>Youth</v>
      </c>
      <c r="K58" s="2" t="s">
        <v>15</v>
      </c>
      <c r="L58" s="2" t="s">
        <v>59</v>
      </c>
      <c r="M58" s="2" t="s">
        <v>33</v>
      </c>
      <c r="N58" s="5" t="s">
        <v>85</v>
      </c>
      <c r="O58" s="2" t="s">
        <v>125</v>
      </c>
      <c r="P58" s="2" t="s">
        <v>172</v>
      </c>
      <c r="Q58" s="4">
        <f>ABS(N58+P58)</f>
        <v>950</v>
      </c>
    </row>
    <row r="59" spans="1:17" x14ac:dyDescent="0.35">
      <c r="A59" s="1" t="s">
        <v>336</v>
      </c>
      <c r="B59" s="2" t="s">
        <v>173</v>
      </c>
      <c r="C59" s="3">
        <v>45422</v>
      </c>
      <c r="D59" s="3">
        <v>45430</v>
      </c>
      <c r="E59" s="3" t="str">
        <f>TEXT(Travel_details_dataset3[[#This Row],[Start date]],"mmm")</f>
        <v>May</v>
      </c>
      <c r="F59" s="1">
        <v>8</v>
      </c>
      <c r="G59" s="1" t="str">
        <f>IF(Travel_details_dataset3[[#This Row],[Duration (days)]] &lt;7,"Short","Long")</f>
        <v>Long</v>
      </c>
      <c r="H59" s="2" t="s">
        <v>174</v>
      </c>
      <c r="I59" s="1">
        <v>18</v>
      </c>
      <c r="J59" s="1" t="str">
        <f>IF(Travel_details_dataset3[[#This Row],[Age]]&lt;25,"Youth","Adult")</f>
        <v>Youth</v>
      </c>
      <c r="K59" s="2" t="s">
        <v>7</v>
      </c>
      <c r="L59" s="2" t="s">
        <v>166</v>
      </c>
      <c r="M59" s="2" t="s">
        <v>42</v>
      </c>
      <c r="N59" s="5" t="s">
        <v>109</v>
      </c>
      <c r="O59" s="2" t="s">
        <v>175</v>
      </c>
      <c r="P59" s="2" t="s">
        <v>176</v>
      </c>
      <c r="Q59" s="4">
        <f>ABS(N59+P59)</f>
        <v>520</v>
      </c>
    </row>
    <row r="60" spans="1:17" x14ac:dyDescent="0.35">
      <c r="A60" s="1" t="s">
        <v>337</v>
      </c>
      <c r="B60" s="2" t="s">
        <v>177</v>
      </c>
      <c r="C60" s="3">
        <v>45463</v>
      </c>
      <c r="D60" s="3">
        <v>45470</v>
      </c>
      <c r="E60" s="3" t="str">
        <f>TEXT(Travel_details_dataset3[[#This Row],[Start date]],"mmm")</f>
        <v>Jun</v>
      </c>
      <c r="F60" s="1">
        <v>7</v>
      </c>
      <c r="G60" s="1" t="str">
        <f>IF(Travel_details_dataset3[[#This Row],[Duration (days)]] &lt;7,"Short","Long")</f>
        <v>Long</v>
      </c>
      <c r="H60" s="2" t="s">
        <v>178</v>
      </c>
      <c r="I60" s="1">
        <v>18</v>
      </c>
      <c r="J60" s="1" t="str">
        <f>IF(Travel_details_dataset3[[#This Row],[Age]]&lt;25,"Youth","Adult")</f>
        <v>Youth</v>
      </c>
      <c r="K60" s="2" t="s">
        <v>7</v>
      </c>
      <c r="L60" s="2" t="s">
        <v>63</v>
      </c>
      <c r="M60" s="2" t="s">
        <v>9</v>
      </c>
      <c r="N60" s="5" t="s">
        <v>88</v>
      </c>
      <c r="O60" s="2" t="s">
        <v>125</v>
      </c>
      <c r="P60" s="2" t="s">
        <v>126</v>
      </c>
      <c r="Q60" s="4">
        <f>ABS(N60+P60)</f>
        <v>1500</v>
      </c>
    </row>
    <row r="61" spans="1:17" x14ac:dyDescent="0.35">
      <c r="A61" s="1" t="s">
        <v>338</v>
      </c>
      <c r="B61" s="2" t="s">
        <v>179</v>
      </c>
      <c r="C61" s="3">
        <v>45488</v>
      </c>
      <c r="D61" s="3">
        <v>45496</v>
      </c>
      <c r="E61" s="3" t="str">
        <f>TEXT(Travel_details_dataset3[[#This Row],[Start date]],"mmm")</f>
        <v>Jul</v>
      </c>
      <c r="F61" s="1">
        <v>8</v>
      </c>
      <c r="G61" s="1" t="str">
        <f>IF(Travel_details_dataset3[[#This Row],[Duration (days)]] &lt;7,"Short","Long")</f>
        <v>Long</v>
      </c>
      <c r="H61" s="2" t="s">
        <v>180</v>
      </c>
      <c r="I61" s="1">
        <v>18</v>
      </c>
      <c r="J61" s="1" t="str">
        <f>IF(Travel_details_dataset3[[#This Row],[Age]]&lt;25,"Youth","Adult")</f>
        <v>Youth</v>
      </c>
      <c r="K61" s="2" t="s">
        <v>15</v>
      </c>
      <c r="L61" s="2" t="s">
        <v>104</v>
      </c>
      <c r="M61" s="2" t="s">
        <v>33</v>
      </c>
      <c r="N61" s="5" t="s">
        <v>93</v>
      </c>
      <c r="O61" s="2" t="s">
        <v>34</v>
      </c>
      <c r="P61" s="2" t="s">
        <v>98</v>
      </c>
      <c r="Q61" s="4">
        <f>ABS(N61+P61)</f>
        <v>900</v>
      </c>
    </row>
    <row r="62" spans="1:17" x14ac:dyDescent="0.35">
      <c r="A62" s="1" t="s">
        <v>339</v>
      </c>
      <c r="B62" s="2" t="s">
        <v>78</v>
      </c>
      <c r="C62" s="3">
        <v>44754</v>
      </c>
      <c r="D62" s="3">
        <v>44760</v>
      </c>
      <c r="E62" s="3" t="str">
        <f>TEXT(Travel_details_dataset3[[#This Row],[Start date]],"mmm")</f>
        <v>Jul</v>
      </c>
      <c r="F62" s="1">
        <v>6</v>
      </c>
      <c r="G62" s="1" t="str">
        <f>IF(Travel_details_dataset3[[#This Row],[Duration (days)]] &lt;7,"Short","Long")</f>
        <v>Short</v>
      </c>
      <c r="H62" s="2" t="s">
        <v>181</v>
      </c>
      <c r="I62" s="1">
        <v>18</v>
      </c>
      <c r="J62" s="1" t="str">
        <f>IF(Travel_details_dataset3[[#This Row],[Age]]&lt;25,"Youth","Adult")</f>
        <v>Youth</v>
      </c>
      <c r="K62" s="2" t="s">
        <v>15</v>
      </c>
      <c r="L62" s="2" t="s">
        <v>8</v>
      </c>
      <c r="M62" s="2" t="s">
        <v>9</v>
      </c>
      <c r="N62" s="5" t="s">
        <v>10</v>
      </c>
      <c r="O62" s="2" t="s">
        <v>80</v>
      </c>
      <c r="P62" s="2" t="s">
        <v>18</v>
      </c>
      <c r="Q62" s="4">
        <f>ABS(N62+P62)</f>
        <v>2000</v>
      </c>
    </row>
    <row r="63" spans="1:17" x14ac:dyDescent="0.35">
      <c r="A63" s="1" t="s">
        <v>340</v>
      </c>
      <c r="B63" s="2" t="s">
        <v>90</v>
      </c>
      <c r="C63" s="3">
        <v>44807</v>
      </c>
      <c r="D63" s="3">
        <v>44814</v>
      </c>
      <c r="E63" s="3" t="str">
        <f>TEXT(Travel_details_dataset3[[#This Row],[Start date]],"mmm")</f>
        <v>Sep</v>
      </c>
      <c r="F63" s="1">
        <v>7</v>
      </c>
      <c r="G63" s="1" t="str">
        <f>IF(Travel_details_dataset3[[#This Row],[Duration (days)]] &lt;7,"Short","Long")</f>
        <v>Long</v>
      </c>
      <c r="H63" s="2" t="s">
        <v>91</v>
      </c>
      <c r="I63" s="1">
        <v>18</v>
      </c>
      <c r="J63" s="1" t="str">
        <f>IF(Travel_details_dataset3[[#This Row],[Age]]&lt;25,"Youth","Adult")</f>
        <v>Youth</v>
      </c>
      <c r="K63" s="2" t="s">
        <v>7</v>
      </c>
      <c r="L63" s="2" t="s">
        <v>92</v>
      </c>
      <c r="M63" s="2" t="s">
        <v>42</v>
      </c>
      <c r="N63" s="5" t="s">
        <v>73</v>
      </c>
      <c r="O63" s="2" t="s">
        <v>34</v>
      </c>
      <c r="P63" s="2" t="s">
        <v>182</v>
      </c>
      <c r="Q63" s="4">
        <f>ABS(N63+P63)</f>
        <v>700</v>
      </c>
    </row>
    <row r="64" spans="1:17" x14ac:dyDescent="0.35">
      <c r="A64" s="1" t="s">
        <v>341</v>
      </c>
      <c r="B64" s="2" t="s">
        <v>183</v>
      </c>
      <c r="C64" s="3">
        <v>44933</v>
      </c>
      <c r="D64" s="3">
        <v>44942</v>
      </c>
      <c r="E64" s="3" t="str">
        <f>TEXT(Travel_details_dataset3[[#This Row],[Start date]],"mmm")</f>
        <v>Jan</v>
      </c>
      <c r="F64" s="1">
        <v>9</v>
      </c>
      <c r="G64" s="1" t="str">
        <f>IF(Travel_details_dataset3[[#This Row],[Duration (days)]] &lt;7,"Short","Long")</f>
        <v>Long</v>
      </c>
      <c r="H64" s="2" t="s">
        <v>184</v>
      </c>
      <c r="I64" s="1">
        <v>18</v>
      </c>
      <c r="J64" s="1" t="str">
        <f>IF(Travel_details_dataset3[[#This Row],[Age]]&lt;25,"Youth","Adult")</f>
        <v>Youth</v>
      </c>
      <c r="K64" s="2" t="s">
        <v>15</v>
      </c>
      <c r="L64" s="2" t="s">
        <v>28</v>
      </c>
      <c r="M64" s="2" t="s">
        <v>185</v>
      </c>
      <c r="N64" s="5" t="s">
        <v>18</v>
      </c>
      <c r="O64" s="2" t="s">
        <v>125</v>
      </c>
      <c r="P64" s="2" t="s">
        <v>35</v>
      </c>
      <c r="Q64" s="4">
        <f>ABS(N64+P64)</f>
        <v>1000</v>
      </c>
    </row>
    <row r="65" spans="1:17" x14ac:dyDescent="0.35">
      <c r="A65" s="1" t="s">
        <v>342</v>
      </c>
      <c r="B65" s="2" t="s">
        <v>99</v>
      </c>
      <c r="C65" s="3">
        <v>45100</v>
      </c>
      <c r="D65" s="3">
        <v>45106</v>
      </c>
      <c r="E65" s="3" t="str">
        <f>TEXT(Travel_details_dataset3[[#This Row],[Start date]],"mmm")</f>
        <v>Jun</v>
      </c>
      <c r="F65" s="1">
        <v>6</v>
      </c>
      <c r="G65" s="1" t="str">
        <f>IF(Travel_details_dataset3[[#This Row],[Duration (days)]] &lt;7,"Short","Long")</f>
        <v>Short</v>
      </c>
      <c r="H65" s="2" t="s">
        <v>21</v>
      </c>
      <c r="I65" s="1">
        <v>18</v>
      </c>
      <c r="J65" s="1" t="str">
        <f>IF(Travel_details_dataset3[[#This Row],[Age]]&lt;25,"Youth","Adult")</f>
        <v>Youth</v>
      </c>
      <c r="K65" s="2" t="s">
        <v>7</v>
      </c>
      <c r="L65" s="2" t="s">
        <v>41</v>
      </c>
      <c r="M65" s="2" t="s">
        <v>9</v>
      </c>
      <c r="N65" s="5" t="s">
        <v>38</v>
      </c>
      <c r="O65" s="2" t="s">
        <v>80</v>
      </c>
      <c r="P65" s="2" t="s">
        <v>10</v>
      </c>
      <c r="Q65" s="4">
        <f>ABS(N65+P65)</f>
        <v>2700</v>
      </c>
    </row>
    <row r="66" spans="1:17" x14ac:dyDescent="0.35">
      <c r="A66" s="1" t="s">
        <v>343</v>
      </c>
      <c r="B66" s="2" t="s">
        <v>115</v>
      </c>
      <c r="C66" s="3">
        <v>45156</v>
      </c>
      <c r="D66" s="3">
        <v>45163</v>
      </c>
      <c r="E66" s="3" t="str">
        <f>TEXT(Travel_details_dataset3[[#This Row],[Start date]],"mmm")</f>
        <v>Aug</v>
      </c>
      <c r="F66" s="1">
        <v>7</v>
      </c>
      <c r="G66" s="1" t="str">
        <f>IF(Travel_details_dataset3[[#This Row],[Duration (days)]] &lt;7,"Short","Long")</f>
        <v>Long</v>
      </c>
      <c r="H66" s="2" t="s">
        <v>186</v>
      </c>
      <c r="I66" s="1">
        <v>18</v>
      </c>
      <c r="J66" s="1" t="str">
        <f>IF(Travel_details_dataset3[[#This Row],[Age]]&lt;25,"Youth","Adult")</f>
        <v>Youth</v>
      </c>
      <c r="K66" s="2" t="s">
        <v>15</v>
      </c>
      <c r="L66" s="2" t="s">
        <v>59</v>
      </c>
      <c r="M66" s="2" t="s">
        <v>185</v>
      </c>
      <c r="N66" s="5" t="s">
        <v>46</v>
      </c>
      <c r="O66" s="2" t="s">
        <v>80</v>
      </c>
      <c r="P66" s="2" t="s">
        <v>25</v>
      </c>
      <c r="Q66" s="4">
        <f>ABS(N66+P66)</f>
        <v>1600</v>
      </c>
    </row>
    <row r="67" spans="1:17" x14ac:dyDescent="0.35">
      <c r="A67" s="1" t="s">
        <v>344</v>
      </c>
      <c r="B67" s="2" t="s">
        <v>82</v>
      </c>
      <c r="C67" s="3">
        <v>45323</v>
      </c>
      <c r="D67" s="3">
        <v>45330</v>
      </c>
      <c r="E67" s="3" t="str">
        <f>TEXT(Travel_details_dataset3[[#This Row],[Start date]],"mmm")</f>
        <v>Feb</v>
      </c>
      <c r="F67" s="1">
        <v>7</v>
      </c>
      <c r="G67" s="1" t="str">
        <f>IF(Travel_details_dataset3[[#This Row],[Duration (days)]] &lt;7,"Short","Long")</f>
        <v>Long</v>
      </c>
      <c r="H67" s="2" t="s">
        <v>187</v>
      </c>
      <c r="I67" s="1">
        <v>18</v>
      </c>
      <c r="J67" s="1" t="str">
        <f>IF(Travel_details_dataset3[[#This Row],[Age]]&lt;25,"Youth","Adult")</f>
        <v>Youth</v>
      </c>
      <c r="K67" s="2" t="s">
        <v>7</v>
      </c>
      <c r="L67" s="2" t="s">
        <v>8</v>
      </c>
      <c r="M67" s="2" t="s">
        <v>17</v>
      </c>
      <c r="N67" s="5" t="s">
        <v>150</v>
      </c>
      <c r="O67" s="2" t="s">
        <v>80</v>
      </c>
      <c r="P67" s="2" t="s">
        <v>24</v>
      </c>
      <c r="Q67" s="4">
        <f>ABS(N67+P67)</f>
        <v>3200</v>
      </c>
    </row>
    <row r="68" spans="1:17" x14ac:dyDescent="0.35">
      <c r="A68" s="1" t="s">
        <v>345</v>
      </c>
      <c r="B68" s="2" t="s">
        <v>78</v>
      </c>
      <c r="C68" s="3">
        <v>45418</v>
      </c>
      <c r="D68" s="3">
        <v>45424</v>
      </c>
      <c r="E68" s="3" t="str">
        <f>TEXT(Travel_details_dataset3[[#This Row],[Start date]],"mmm")</f>
        <v>May</v>
      </c>
      <c r="F68" s="1">
        <v>6</v>
      </c>
      <c r="G68" s="1" t="str">
        <f>IF(Travel_details_dataset3[[#This Row],[Duration (days)]] &lt;7,"Short","Long")</f>
        <v>Short</v>
      </c>
      <c r="H68" s="2" t="s">
        <v>188</v>
      </c>
      <c r="I68" s="1">
        <v>18</v>
      </c>
      <c r="J68" s="1" t="str">
        <f>IF(Travel_details_dataset3[[#This Row],[Age]]&lt;25,"Youth","Adult")</f>
        <v>Youth</v>
      </c>
      <c r="K68" s="2" t="s">
        <v>15</v>
      </c>
      <c r="L68" s="2" t="s">
        <v>189</v>
      </c>
      <c r="M68" s="2" t="s">
        <v>9</v>
      </c>
      <c r="N68" s="5" t="s">
        <v>162</v>
      </c>
      <c r="O68" s="2" t="s">
        <v>34</v>
      </c>
      <c r="P68" s="2" t="s">
        <v>35</v>
      </c>
      <c r="Q68" s="4">
        <f>ABS(N68+P68)</f>
        <v>1300</v>
      </c>
    </row>
    <row r="69" spans="1:17" x14ac:dyDescent="0.35">
      <c r="A69" s="1" t="s">
        <v>346</v>
      </c>
      <c r="B69" s="2" t="s">
        <v>94</v>
      </c>
      <c r="C69" s="3">
        <v>45493</v>
      </c>
      <c r="D69" s="3">
        <v>45499</v>
      </c>
      <c r="E69" s="3" t="str">
        <f>TEXT(Travel_details_dataset3[[#This Row],[Start date]],"mmm")</f>
        <v>Jul</v>
      </c>
      <c r="F69" s="1">
        <v>6</v>
      </c>
      <c r="G69" s="1" t="str">
        <f>IF(Travel_details_dataset3[[#This Row],[Duration (days)]] &lt;7,"Short","Long")</f>
        <v>Short</v>
      </c>
      <c r="H69" s="2" t="s">
        <v>190</v>
      </c>
      <c r="I69" s="1">
        <v>18</v>
      </c>
      <c r="J69" s="1" t="str">
        <f>IF(Travel_details_dataset3[[#This Row],[Age]]&lt;25,"Youth","Adult")</f>
        <v>Youth</v>
      </c>
      <c r="K69" s="2" t="s">
        <v>7</v>
      </c>
      <c r="L69" s="2" t="s">
        <v>8</v>
      </c>
      <c r="M69" s="2" t="s">
        <v>185</v>
      </c>
      <c r="N69" s="5" t="s">
        <v>24</v>
      </c>
      <c r="O69" s="2" t="s">
        <v>80</v>
      </c>
      <c r="P69" s="2" t="s">
        <v>18</v>
      </c>
      <c r="Q69" s="4">
        <f>ABS(N69+P69)</f>
        <v>1800</v>
      </c>
    </row>
    <row r="70" spans="1:17" x14ac:dyDescent="0.35">
      <c r="A70" s="1" t="s">
        <v>347</v>
      </c>
      <c r="B70" s="2" t="s">
        <v>106</v>
      </c>
      <c r="C70" s="3">
        <v>45543</v>
      </c>
      <c r="D70" s="3">
        <v>45551</v>
      </c>
      <c r="E70" s="3" t="str">
        <f>TEXT(Travel_details_dataset3[[#This Row],[Start date]],"mmm")</f>
        <v>Sep</v>
      </c>
      <c r="F70" s="1">
        <v>8</v>
      </c>
      <c r="G70" s="1" t="str">
        <f>IF(Travel_details_dataset3[[#This Row],[Duration (days)]] &lt;7,"Short","Long")</f>
        <v>Long</v>
      </c>
      <c r="H70" s="2" t="s">
        <v>191</v>
      </c>
      <c r="I70" s="1">
        <v>18</v>
      </c>
      <c r="J70" s="1" t="str">
        <f>IF(Travel_details_dataset3[[#This Row],[Age]]&lt;25,"Youth","Adult")</f>
        <v>Youth</v>
      </c>
      <c r="K70" s="2" t="s">
        <v>15</v>
      </c>
      <c r="L70" s="2" t="s">
        <v>108</v>
      </c>
      <c r="M70" s="2" t="s">
        <v>42</v>
      </c>
      <c r="N70" s="5" t="s">
        <v>182</v>
      </c>
      <c r="O70" s="2" t="s">
        <v>80</v>
      </c>
      <c r="P70" s="2" t="s">
        <v>25</v>
      </c>
      <c r="Q70" s="4">
        <f>ABS(N70+P70)</f>
        <v>1000</v>
      </c>
    </row>
    <row r="71" spans="1:17" x14ac:dyDescent="0.35">
      <c r="A71" s="1" t="s">
        <v>348</v>
      </c>
      <c r="B71" s="2" t="s">
        <v>102</v>
      </c>
      <c r="C71" s="3">
        <v>45702</v>
      </c>
      <c r="D71" s="3">
        <v>45708</v>
      </c>
      <c r="E71" s="3" t="str">
        <f>TEXT(Travel_details_dataset3[[#This Row],[Start date]],"mmm")</f>
        <v>Feb</v>
      </c>
      <c r="F71" s="1">
        <v>6</v>
      </c>
      <c r="G71" s="1" t="str">
        <f>IF(Travel_details_dataset3[[#This Row],[Duration (days)]] &lt;7,"Short","Long")</f>
        <v>Short</v>
      </c>
      <c r="H71" s="2" t="s">
        <v>192</v>
      </c>
      <c r="I71" s="1">
        <v>18</v>
      </c>
      <c r="J71" s="1" t="str">
        <f>IF(Travel_details_dataset3[[#This Row],[Age]]&lt;25,"Youth","Adult")</f>
        <v>Youth</v>
      </c>
      <c r="K71" s="2" t="s">
        <v>7</v>
      </c>
      <c r="L71" s="2" t="s">
        <v>104</v>
      </c>
      <c r="M71" s="2" t="s">
        <v>9</v>
      </c>
      <c r="N71" s="5" t="s">
        <v>193</v>
      </c>
      <c r="O71" s="2" t="s">
        <v>34</v>
      </c>
      <c r="P71" s="2" t="s">
        <v>60</v>
      </c>
      <c r="Q71" s="4">
        <f>ABS(N71+P71)</f>
        <v>1400</v>
      </c>
    </row>
    <row r="72" spans="1:17" x14ac:dyDescent="0.35">
      <c r="A72" s="1" t="s">
        <v>349</v>
      </c>
      <c r="B72" s="2" t="s">
        <v>82</v>
      </c>
      <c r="C72" s="3">
        <v>45798</v>
      </c>
      <c r="D72" s="3">
        <v>45806</v>
      </c>
      <c r="E72" s="3" t="str">
        <f>TEXT(Travel_details_dataset3[[#This Row],[Start date]],"mmm")</f>
        <v>May</v>
      </c>
      <c r="F72" s="1">
        <v>8</v>
      </c>
      <c r="G72" s="1" t="str">
        <f>IF(Travel_details_dataset3[[#This Row],[Duration (days)]] &lt;7,"Short","Long")</f>
        <v>Long</v>
      </c>
      <c r="H72" s="2" t="s">
        <v>194</v>
      </c>
      <c r="I72" s="1">
        <v>37</v>
      </c>
      <c r="J72" s="1" t="str">
        <f>IF(Travel_details_dataset3[[#This Row],[Age]]&lt;25,"Youth","Adult")</f>
        <v>Adult</v>
      </c>
      <c r="K72" s="2" t="s">
        <v>15</v>
      </c>
      <c r="L72" s="2" t="s">
        <v>28</v>
      </c>
      <c r="M72" s="2" t="s">
        <v>17</v>
      </c>
      <c r="N72" s="5" t="s">
        <v>195</v>
      </c>
      <c r="O72" s="2" t="s">
        <v>80</v>
      </c>
      <c r="P72" s="2" t="s">
        <v>24</v>
      </c>
      <c r="Q72" s="4">
        <f>ABS(N72+P72)</f>
        <v>2800</v>
      </c>
    </row>
    <row r="73" spans="1:17" x14ac:dyDescent="0.35">
      <c r="A73" s="1" t="s">
        <v>350</v>
      </c>
      <c r="B73" s="2" t="s">
        <v>20</v>
      </c>
      <c r="C73" s="3">
        <v>44778</v>
      </c>
      <c r="D73" s="3">
        <v>44785</v>
      </c>
      <c r="E73" s="3" t="str">
        <f>TEXT(Travel_details_dataset3[[#This Row],[Start date]],"mmm")</f>
        <v>Aug</v>
      </c>
      <c r="F73" s="1">
        <v>7</v>
      </c>
      <c r="G73" s="1" t="str">
        <f>IF(Travel_details_dataset3[[#This Row],[Duration (days)]] &lt;7,"Short","Long")</f>
        <v>Long</v>
      </c>
      <c r="H73" s="2" t="s">
        <v>196</v>
      </c>
      <c r="I73" s="1">
        <v>35</v>
      </c>
      <c r="J73" s="1" t="str">
        <f>IF(Travel_details_dataset3[[#This Row],[Age]]&lt;25,"Youth","Adult")</f>
        <v>Adult</v>
      </c>
      <c r="K73" s="2" t="s">
        <v>15</v>
      </c>
      <c r="L73" s="2" t="s">
        <v>166</v>
      </c>
      <c r="M73" s="2" t="s">
        <v>17</v>
      </c>
      <c r="N73" s="5">
        <v>500</v>
      </c>
      <c r="O73" s="2" t="s">
        <v>80</v>
      </c>
      <c r="P73" s="2">
        <v>800</v>
      </c>
      <c r="Q73" s="4">
        <f>ABS(N73+P73)</f>
        <v>1300</v>
      </c>
    </row>
    <row r="74" spans="1:17" x14ac:dyDescent="0.35">
      <c r="A74" s="1" t="s">
        <v>351</v>
      </c>
      <c r="B74" s="2" t="s">
        <v>30</v>
      </c>
      <c r="C74" s="3">
        <v>44927</v>
      </c>
      <c r="D74" s="3">
        <v>44935</v>
      </c>
      <c r="E74" s="3" t="str">
        <f>TEXT(Travel_details_dataset3[[#This Row],[Start date]],"mmm")</f>
        <v>Jan</v>
      </c>
      <c r="F74" s="1">
        <v>8</v>
      </c>
      <c r="G74" s="1" t="str">
        <f>IF(Travel_details_dataset3[[#This Row],[Duration (days)]] &lt;7,"Short","Long")</f>
        <v>Long</v>
      </c>
      <c r="H74" s="2" t="s">
        <v>197</v>
      </c>
      <c r="I74" s="1">
        <v>29</v>
      </c>
      <c r="J74" s="1" t="str">
        <f>IF(Travel_details_dataset3[[#This Row],[Age]]&lt;25,"Youth","Adult")</f>
        <v>Adult</v>
      </c>
      <c r="K74" s="2" t="s">
        <v>7</v>
      </c>
      <c r="L74" s="2" t="s">
        <v>8</v>
      </c>
      <c r="M74" s="2" t="s">
        <v>9</v>
      </c>
      <c r="N74" s="5">
        <v>1000</v>
      </c>
      <c r="O74" s="2" t="s">
        <v>34</v>
      </c>
      <c r="P74" s="2">
        <v>200</v>
      </c>
      <c r="Q74" s="4">
        <f>ABS(N74+P74)</f>
        <v>1200</v>
      </c>
    </row>
    <row r="75" spans="1:17" x14ac:dyDescent="0.35">
      <c r="A75" s="1" t="s">
        <v>352</v>
      </c>
      <c r="B75" s="2" t="s">
        <v>54</v>
      </c>
      <c r="C75" s="3">
        <v>45031</v>
      </c>
      <c r="D75" s="3">
        <v>45038</v>
      </c>
      <c r="E75" s="3" t="str">
        <f>TEXT(Travel_details_dataset3[[#This Row],[Start date]],"mmm")</f>
        <v>Apr</v>
      </c>
      <c r="F75" s="1">
        <v>7</v>
      </c>
      <c r="G75" s="1" t="str">
        <f>IF(Travel_details_dataset3[[#This Row],[Duration (days)]] &lt;7,"Short","Long")</f>
        <v>Long</v>
      </c>
      <c r="H75" s="2" t="s">
        <v>198</v>
      </c>
      <c r="I75" s="1">
        <v>42</v>
      </c>
      <c r="J75" s="1" t="str">
        <f>IF(Travel_details_dataset3[[#This Row],[Age]]&lt;25,"Youth","Adult")</f>
        <v>Adult</v>
      </c>
      <c r="K75" s="2" t="s">
        <v>15</v>
      </c>
      <c r="L75" s="2" t="s">
        <v>56</v>
      </c>
      <c r="M75" s="2" t="s">
        <v>17</v>
      </c>
      <c r="N75" s="5">
        <v>800</v>
      </c>
      <c r="O75" s="2" t="s">
        <v>80</v>
      </c>
      <c r="P75" s="2">
        <v>500</v>
      </c>
      <c r="Q75" s="4">
        <f>ABS(N75+P75)</f>
        <v>1300</v>
      </c>
    </row>
    <row r="76" spans="1:17" x14ac:dyDescent="0.35">
      <c r="A76" s="1" t="s">
        <v>353</v>
      </c>
      <c r="B76" s="2" t="s">
        <v>36</v>
      </c>
      <c r="C76" s="3">
        <v>45084</v>
      </c>
      <c r="D76" s="3">
        <v>45091</v>
      </c>
      <c r="E76" s="3" t="str">
        <f>TEXT(Travel_details_dataset3[[#This Row],[Start date]],"mmm")</f>
        <v>Jun</v>
      </c>
      <c r="F76" s="1">
        <v>7</v>
      </c>
      <c r="G76" s="1" t="str">
        <f>IF(Travel_details_dataset3[[#This Row],[Duration (days)]] &lt;7,"Short","Long")</f>
        <v>Long</v>
      </c>
      <c r="H76" s="2" t="s">
        <v>6</v>
      </c>
      <c r="I76" s="1">
        <v>46</v>
      </c>
      <c r="J76" s="1" t="str">
        <f>IF(Travel_details_dataset3[[#This Row],[Age]]&lt;25,"Youth","Adult")</f>
        <v>Adult</v>
      </c>
      <c r="K76" s="2" t="s">
        <v>7</v>
      </c>
      <c r="L76" s="2" t="s">
        <v>28</v>
      </c>
      <c r="M76" s="2" t="s">
        <v>9</v>
      </c>
      <c r="N76" s="5">
        <v>1200</v>
      </c>
      <c r="O76" s="2" t="s">
        <v>80</v>
      </c>
      <c r="P76" s="2">
        <v>700</v>
      </c>
      <c r="Q76" s="4">
        <f>ABS(N76+P76)</f>
        <v>1900</v>
      </c>
    </row>
    <row r="77" spans="1:17" x14ac:dyDescent="0.35">
      <c r="A77" s="1" t="s">
        <v>354</v>
      </c>
      <c r="B77" s="2" t="s">
        <v>199</v>
      </c>
      <c r="C77" s="3">
        <v>45170</v>
      </c>
      <c r="D77" s="3">
        <v>45179</v>
      </c>
      <c r="E77" s="3" t="str">
        <f>TEXT(Travel_details_dataset3[[#This Row],[Start date]],"mmm")</f>
        <v>Sep</v>
      </c>
      <c r="F77" s="1">
        <v>9</v>
      </c>
      <c r="G77" s="1" t="str">
        <f>IF(Travel_details_dataset3[[#This Row],[Duration (days)]] &lt;7,"Short","Long")</f>
        <v>Long</v>
      </c>
      <c r="H77" s="2" t="s">
        <v>200</v>
      </c>
      <c r="I77" s="1">
        <v>31</v>
      </c>
      <c r="J77" s="1" t="str">
        <f>IF(Travel_details_dataset3[[#This Row],[Age]]&lt;25,"Youth","Adult")</f>
        <v>Adult</v>
      </c>
      <c r="K77" s="2" t="s">
        <v>7</v>
      </c>
      <c r="L77" s="2" t="s">
        <v>201</v>
      </c>
      <c r="M77" s="2" t="s">
        <v>202</v>
      </c>
      <c r="N77" s="5">
        <v>400</v>
      </c>
      <c r="O77" s="2" t="s">
        <v>203</v>
      </c>
      <c r="P77" s="2">
        <v>300</v>
      </c>
      <c r="Q77" s="4">
        <f>ABS(N77+P77)</f>
        <v>700</v>
      </c>
    </row>
    <row r="78" spans="1:17" x14ac:dyDescent="0.35">
      <c r="A78" s="1" t="s">
        <v>355</v>
      </c>
      <c r="B78" s="2" t="s">
        <v>20</v>
      </c>
      <c r="C78" s="3">
        <v>45242</v>
      </c>
      <c r="D78" s="3">
        <v>45249</v>
      </c>
      <c r="E78" s="3" t="str">
        <f>TEXT(Travel_details_dataset3[[#This Row],[Start date]],"mmm")</f>
        <v>Nov</v>
      </c>
      <c r="F78" s="1">
        <v>7</v>
      </c>
      <c r="G78" s="1" t="str">
        <f>IF(Travel_details_dataset3[[#This Row],[Duration (days)]] &lt;7,"Short","Long")</f>
        <v>Long</v>
      </c>
      <c r="H78" s="2" t="s">
        <v>204</v>
      </c>
      <c r="I78" s="1">
        <v>25</v>
      </c>
      <c r="J78" s="1" t="str">
        <f>IF(Travel_details_dataset3[[#This Row],[Age]]&lt;25,"Youth","Adult")</f>
        <v>Adult</v>
      </c>
      <c r="K78" s="2" t="s">
        <v>15</v>
      </c>
      <c r="L78" s="2" t="s">
        <v>205</v>
      </c>
      <c r="M78" s="2" t="s">
        <v>17</v>
      </c>
      <c r="N78" s="5">
        <v>600</v>
      </c>
      <c r="O78" s="2" t="s">
        <v>80</v>
      </c>
      <c r="P78" s="2">
        <v>700</v>
      </c>
      <c r="Q78" s="4">
        <f>ABS(N78+P78)</f>
        <v>1300</v>
      </c>
    </row>
    <row r="79" spans="1:17" x14ac:dyDescent="0.35">
      <c r="A79" s="1" t="s">
        <v>356</v>
      </c>
      <c r="B79" s="2" t="s">
        <v>206</v>
      </c>
      <c r="C79" s="3">
        <v>45327</v>
      </c>
      <c r="D79" s="3">
        <v>45334</v>
      </c>
      <c r="E79" s="3" t="str">
        <f>TEXT(Travel_details_dataset3[[#This Row],[Start date]],"mmm")</f>
        <v>Feb</v>
      </c>
      <c r="F79" s="1">
        <v>7</v>
      </c>
      <c r="G79" s="1" t="str">
        <f>IF(Travel_details_dataset3[[#This Row],[Duration (days)]] &lt;7,"Short","Long")</f>
        <v>Long</v>
      </c>
      <c r="H79" s="2" t="s">
        <v>21</v>
      </c>
      <c r="I79" s="1">
        <v>38</v>
      </c>
      <c r="J79" s="1" t="str">
        <f>IF(Travel_details_dataset3[[#This Row],[Age]]&lt;25,"Youth","Adult")</f>
        <v>Adult</v>
      </c>
      <c r="K79" s="2" t="s">
        <v>7</v>
      </c>
      <c r="L79" s="2" t="s">
        <v>41</v>
      </c>
      <c r="M79" s="2" t="s">
        <v>9</v>
      </c>
      <c r="N79" s="5">
        <v>900</v>
      </c>
      <c r="O79" s="2" t="s">
        <v>80</v>
      </c>
      <c r="P79" s="2">
        <v>600</v>
      </c>
      <c r="Q79" s="4">
        <f>ABS(N79+P79)</f>
        <v>1500</v>
      </c>
    </row>
    <row r="80" spans="1:17" x14ac:dyDescent="0.35">
      <c r="A80" s="1" t="s">
        <v>357</v>
      </c>
      <c r="B80" s="2" t="s">
        <v>207</v>
      </c>
      <c r="C80" s="3">
        <v>45427</v>
      </c>
      <c r="D80" s="3">
        <v>45434</v>
      </c>
      <c r="E80" s="3" t="str">
        <f>TEXT(Travel_details_dataset3[[#This Row],[Start date]],"mmm")</f>
        <v>May</v>
      </c>
      <c r="F80" s="1">
        <v>7</v>
      </c>
      <c r="G80" s="1" t="str">
        <f>IF(Travel_details_dataset3[[#This Row],[Duration (days)]] &lt;7,"Short","Long")</f>
        <v>Long</v>
      </c>
      <c r="H80" s="2" t="s">
        <v>208</v>
      </c>
      <c r="I80" s="1">
        <v>27</v>
      </c>
      <c r="J80" s="1" t="str">
        <f>IF(Travel_details_dataset3[[#This Row],[Age]]&lt;25,"Youth","Adult")</f>
        <v>Adult</v>
      </c>
      <c r="K80" s="2" t="s">
        <v>15</v>
      </c>
      <c r="L80" s="2" t="s">
        <v>22</v>
      </c>
      <c r="M80" s="2" t="s">
        <v>9</v>
      </c>
      <c r="N80" s="5">
        <v>400</v>
      </c>
      <c r="O80" s="2" t="s">
        <v>80</v>
      </c>
      <c r="P80" s="2">
        <v>400</v>
      </c>
      <c r="Q80" s="4">
        <f>ABS(N80+P80)</f>
        <v>800</v>
      </c>
    </row>
    <row r="81" spans="1:17" x14ac:dyDescent="0.35">
      <c r="A81" s="1" t="s">
        <v>358</v>
      </c>
      <c r="B81" s="2" t="s">
        <v>26</v>
      </c>
      <c r="C81" s="3">
        <v>45524</v>
      </c>
      <c r="D81" s="3">
        <v>45531</v>
      </c>
      <c r="E81" s="3" t="str">
        <f>TEXT(Travel_details_dataset3[[#This Row],[Start date]],"mmm")</f>
        <v>Aug</v>
      </c>
      <c r="F81" s="1">
        <v>7</v>
      </c>
      <c r="G81" s="1" t="str">
        <f>IF(Travel_details_dataset3[[#This Row],[Duration (days)]] &lt;7,"Short","Long")</f>
        <v>Long</v>
      </c>
      <c r="H81" s="2" t="s">
        <v>209</v>
      </c>
      <c r="I81" s="1">
        <v>60</v>
      </c>
      <c r="J81" s="1" t="str">
        <f>IF(Travel_details_dataset3[[#This Row],[Age]]&lt;25,"Youth","Adult")</f>
        <v>Adult</v>
      </c>
      <c r="K81" s="2" t="s">
        <v>7</v>
      </c>
      <c r="L81" s="2" t="s">
        <v>8</v>
      </c>
      <c r="M81" s="2" t="s">
        <v>9</v>
      </c>
      <c r="N81" s="5">
        <v>1500</v>
      </c>
      <c r="O81" s="2" t="s">
        <v>80</v>
      </c>
      <c r="P81" s="2">
        <v>1000</v>
      </c>
      <c r="Q81" s="4">
        <f>ABS(N81+P81)</f>
        <v>2500</v>
      </c>
    </row>
    <row r="82" spans="1:17" x14ac:dyDescent="0.35">
      <c r="A82" s="1" t="s">
        <v>359</v>
      </c>
      <c r="B82" s="2" t="s">
        <v>210</v>
      </c>
      <c r="C82" s="3">
        <v>45658</v>
      </c>
      <c r="D82" s="3">
        <v>45665</v>
      </c>
      <c r="E82" s="3" t="str">
        <f>TEXT(Travel_details_dataset3[[#This Row],[Start date]],"mmm")</f>
        <v>Jan</v>
      </c>
      <c r="F82" s="1">
        <v>7</v>
      </c>
      <c r="G82" s="1" t="str">
        <f>IF(Travel_details_dataset3[[#This Row],[Duration (days)]] &lt;7,"Short","Long")</f>
        <v>Long</v>
      </c>
      <c r="H82" s="2" t="s">
        <v>211</v>
      </c>
      <c r="I82" s="1">
        <v>32</v>
      </c>
      <c r="J82" s="1" t="str">
        <f>IF(Travel_details_dataset3[[#This Row],[Age]]&lt;25,"Youth","Adult")</f>
        <v>Adult</v>
      </c>
      <c r="K82" s="2" t="s">
        <v>15</v>
      </c>
      <c r="L82" s="2" t="s">
        <v>28</v>
      </c>
      <c r="M82" s="2" t="s">
        <v>17</v>
      </c>
      <c r="N82" s="5">
        <v>700</v>
      </c>
      <c r="O82" s="2" t="s">
        <v>80</v>
      </c>
      <c r="P82" s="2">
        <v>800</v>
      </c>
      <c r="Q82" s="4">
        <f>ABS(N82+P82)</f>
        <v>1500</v>
      </c>
    </row>
    <row r="83" spans="1:17" x14ac:dyDescent="0.35">
      <c r="A83" s="1" t="s">
        <v>360</v>
      </c>
      <c r="B83" s="2" t="s">
        <v>179</v>
      </c>
      <c r="C83" s="3">
        <v>45762</v>
      </c>
      <c r="D83" s="3">
        <v>45769</v>
      </c>
      <c r="E83" s="3" t="str">
        <f>TEXT(Travel_details_dataset3[[#This Row],[Start date]],"mmm")</f>
        <v>Apr</v>
      </c>
      <c r="F83" s="1">
        <v>7</v>
      </c>
      <c r="G83" s="1" t="str">
        <f>IF(Travel_details_dataset3[[#This Row],[Duration (days)]] &lt;7,"Short","Long")</f>
        <v>Long</v>
      </c>
      <c r="H83" s="2" t="s">
        <v>212</v>
      </c>
      <c r="I83" s="1">
        <v>41</v>
      </c>
      <c r="J83" s="1" t="str">
        <f>IF(Travel_details_dataset3[[#This Row],[Age]]&lt;25,"Youth","Adult")</f>
        <v>Adult</v>
      </c>
      <c r="K83" s="2" t="s">
        <v>7</v>
      </c>
      <c r="L83" s="2" t="s">
        <v>8</v>
      </c>
      <c r="M83" s="2" t="s">
        <v>9</v>
      </c>
      <c r="N83" s="5" t="s">
        <v>60</v>
      </c>
      <c r="O83" s="2" t="s">
        <v>80</v>
      </c>
      <c r="P83" s="2">
        <v>800</v>
      </c>
      <c r="Q83" s="4">
        <f>ABS(N83+P83)</f>
        <v>900</v>
      </c>
    </row>
    <row r="84" spans="1:17" x14ac:dyDescent="0.35">
      <c r="A84" s="1" t="s">
        <v>361</v>
      </c>
      <c r="B84" s="2" t="s">
        <v>78</v>
      </c>
      <c r="C84" s="3">
        <v>44362</v>
      </c>
      <c r="D84" s="3">
        <v>44367</v>
      </c>
      <c r="E84" s="3" t="str">
        <f>TEXT(Travel_details_dataset3[[#This Row],[Start date]],"mmm")</f>
        <v>Jun</v>
      </c>
      <c r="F84" s="1">
        <v>6</v>
      </c>
      <c r="G84" s="1" t="str">
        <f>IF(Travel_details_dataset3[[#This Row],[Duration (days)]] &lt;7,"Short","Long")</f>
        <v>Short</v>
      </c>
      <c r="H84" s="2" t="s">
        <v>6</v>
      </c>
      <c r="I84" s="1">
        <v>35</v>
      </c>
      <c r="J84" s="1" t="str">
        <f>IF(Travel_details_dataset3[[#This Row],[Age]]&lt;25,"Youth","Adult")</f>
        <v>Adult</v>
      </c>
      <c r="K84" s="2" t="s">
        <v>7</v>
      </c>
      <c r="L84" s="2" t="s">
        <v>8</v>
      </c>
      <c r="M84" s="2" t="s">
        <v>9</v>
      </c>
      <c r="N84" s="5">
        <v>800</v>
      </c>
      <c r="O84" s="2" t="s">
        <v>80</v>
      </c>
      <c r="P84" s="2">
        <v>500</v>
      </c>
      <c r="Q84" s="4">
        <f>ABS(N84+P84)</f>
        <v>1300</v>
      </c>
    </row>
    <row r="85" spans="1:17" x14ac:dyDescent="0.35">
      <c r="A85" s="1" t="s">
        <v>362</v>
      </c>
      <c r="B85" s="2" t="s">
        <v>90</v>
      </c>
      <c r="C85" s="3">
        <v>44378</v>
      </c>
      <c r="D85" s="3">
        <v>44387</v>
      </c>
      <c r="E85" s="3" t="str">
        <f>TEXT(Travel_details_dataset3[[#This Row],[Start date]],"mmm")</f>
        <v>Jul</v>
      </c>
      <c r="F85" s="1">
        <v>10</v>
      </c>
      <c r="G85" s="1" t="str">
        <f>IF(Travel_details_dataset3[[#This Row],[Duration (days)]] &lt;7,"Short","Long")</f>
        <v>Long</v>
      </c>
      <c r="H85" s="2" t="s">
        <v>196</v>
      </c>
      <c r="I85" s="1">
        <v>28</v>
      </c>
      <c r="J85" s="1" t="str">
        <f>IF(Travel_details_dataset3[[#This Row],[Age]]&lt;25,"Youth","Adult")</f>
        <v>Adult</v>
      </c>
      <c r="K85" s="2" t="s">
        <v>15</v>
      </c>
      <c r="L85" s="2" t="s">
        <v>22</v>
      </c>
      <c r="M85" s="2" t="s">
        <v>33</v>
      </c>
      <c r="N85" s="5">
        <v>500</v>
      </c>
      <c r="O85" s="2" t="s">
        <v>34</v>
      </c>
      <c r="P85" s="2">
        <v>300</v>
      </c>
      <c r="Q85" s="4">
        <f>ABS(N85+P85)</f>
        <v>800</v>
      </c>
    </row>
    <row r="86" spans="1:17" x14ac:dyDescent="0.35">
      <c r="A86" s="1" t="s">
        <v>363</v>
      </c>
      <c r="B86" s="2" t="s">
        <v>82</v>
      </c>
      <c r="C86" s="3">
        <v>44418</v>
      </c>
      <c r="D86" s="3">
        <v>44428</v>
      </c>
      <c r="E86" s="3" t="str">
        <f>TEXT(Travel_details_dataset3[[#This Row],[Start date]],"mmm")</f>
        <v>Aug</v>
      </c>
      <c r="F86" s="1">
        <v>11</v>
      </c>
      <c r="G86" s="1" t="str">
        <f>IF(Travel_details_dataset3[[#This Row],[Duration (days)]] &lt;7,"Short","Long")</f>
        <v>Long</v>
      </c>
      <c r="H86" s="2" t="s">
        <v>116</v>
      </c>
      <c r="I86" s="1">
        <v>42</v>
      </c>
      <c r="J86" s="1" t="str">
        <f>IF(Travel_details_dataset3[[#This Row],[Age]]&lt;25,"Youth","Adult")</f>
        <v>Adult</v>
      </c>
      <c r="K86" s="2" t="s">
        <v>15</v>
      </c>
      <c r="L86" s="2" t="s">
        <v>59</v>
      </c>
      <c r="M86" s="2" t="s">
        <v>17</v>
      </c>
      <c r="N86" s="5">
        <v>1200</v>
      </c>
      <c r="O86" s="2" t="s">
        <v>80</v>
      </c>
      <c r="P86" s="2">
        <v>700</v>
      </c>
      <c r="Q86" s="4">
        <f>ABS(N86+P86)</f>
        <v>1900</v>
      </c>
    </row>
    <row r="87" spans="1:17" x14ac:dyDescent="0.35">
      <c r="A87" s="1" t="s">
        <v>364</v>
      </c>
      <c r="B87" s="2" t="s">
        <v>99</v>
      </c>
      <c r="C87" s="3">
        <v>44440</v>
      </c>
      <c r="D87" s="3">
        <v>44449</v>
      </c>
      <c r="E87" s="3" t="str">
        <f>TEXT(Travel_details_dataset3[[#This Row],[Start date]],"mmm")</f>
        <v>Sep</v>
      </c>
      <c r="F87" s="1">
        <v>9</v>
      </c>
      <c r="G87" s="1" t="str">
        <f>IF(Travel_details_dataset3[[#This Row],[Duration (days)]] &lt;7,"Short","Long")</f>
        <v>Long</v>
      </c>
      <c r="H87" s="2" t="s">
        <v>21</v>
      </c>
      <c r="I87" s="1">
        <v>45</v>
      </c>
      <c r="J87" s="1" t="str">
        <f>IF(Travel_details_dataset3[[#This Row],[Age]]&lt;25,"Youth","Adult")</f>
        <v>Adult</v>
      </c>
      <c r="K87" s="2" t="s">
        <v>7</v>
      </c>
      <c r="L87" s="2" t="s">
        <v>41</v>
      </c>
      <c r="M87" s="2" t="s">
        <v>9</v>
      </c>
      <c r="N87" s="5">
        <v>900</v>
      </c>
      <c r="O87" s="2" t="s">
        <v>80</v>
      </c>
      <c r="P87" s="2">
        <v>600</v>
      </c>
      <c r="Q87" s="4">
        <f>ABS(N87+P87)</f>
        <v>1500</v>
      </c>
    </row>
    <row r="88" spans="1:17" x14ac:dyDescent="0.35">
      <c r="A88" s="1" t="s">
        <v>365</v>
      </c>
      <c r="B88" s="2" t="s">
        <v>94</v>
      </c>
      <c r="C88" s="3">
        <v>44484</v>
      </c>
      <c r="D88" s="3">
        <v>44489</v>
      </c>
      <c r="E88" s="3" t="str">
        <f>TEXT(Travel_details_dataset3[[#This Row],[Start date]],"mmm")</f>
        <v>Oct</v>
      </c>
      <c r="F88" s="1">
        <v>6</v>
      </c>
      <c r="G88" s="1" t="str">
        <f>IF(Travel_details_dataset3[[#This Row],[Duration (days)]] &lt;7,"Short","Long")</f>
        <v>Short</v>
      </c>
      <c r="H88" s="2" t="s">
        <v>40</v>
      </c>
      <c r="I88" s="1">
        <v>31</v>
      </c>
      <c r="J88" s="1" t="str">
        <f>IF(Travel_details_dataset3[[#This Row],[Age]]&lt;25,"Youth","Adult")</f>
        <v>Adult</v>
      </c>
      <c r="K88" s="2" t="s">
        <v>15</v>
      </c>
      <c r="L88" s="2" t="s">
        <v>8</v>
      </c>
      <c r="M88" s="2" t="s">
        <v>33</v>
      </c>
      <c r="N88" s="5">
        <v>700</v>
      </c>
      <c r="O88" s="2" t="s">
        <v>125</v>
      </c>
      <c r="P88" s="2">
        <v>200</v>
      </c>
      <c r="Q88" s="4">
        <f>ABS(N88+P88)</f>
        <v>900</v>
      </c>
    </row>
    <row r="89" spans="1:17" x14ac:dyDescent="0.35">
      <c r="A89" s="1" t="s">
        <v>366</v>
      </c>
      <c r="B89" s="2" t="s">
        <v>86</v>
      </c>
      <c r="C89" s="3">
        <v>44520</v>
      </c>
      <c r="D89" s="3">
        <v>44530</v>
      </c>
      <c r="E89" s="3" t="str">
        <f>TEXT(Travel_details_dataset3[[#This Row],[Start date]],"mmm")</f>
        <v>Nov</v>
      </c>
      <c r="F89" s="1">
        <v>11</v>
      </c>
      <c r="G89" s="1" t="str">
        <f>IF(Travel_details_dataset3[[#This Row],[Duration (days)]] &lt;7,"Short","Long")</f>
        <v>Long</v>
      </c>
      <c r="H89" s="2" t="s">
        <v>100</v>
      </c>
      <c r="I89" s="1">
        <v>29</v>
      </c>
      <c r="J89" s="1" t="str">
        <f>IF(Travel_details_dataset3[[#This Row],[Age]]&lt;25,"Youth","Adult")</f>
        <v>Adult</v>
      </c>
      <c r="K89" s="2" t="s">
        <v>7</v>
      </c>
      <c r="L89" s="2" t="s">
        <v>28</v>
      </c>
      <c r="M89" s="2" t="s">
        <v>42</v>
      </c>
      <c r="N89" s="5">
        <v>300</v>
      </c>
      <c r="O89" s="2" t="s">
        <v>80</v>
      </c>
      <c r="P89" s="2">
        <v>400</v>
      </c>
      <c r="Q89" s="4">
        <f>ABS(N89+P89)</f>
        <v>700</v>
      </c>
    </row>
    <row r="90" spans="1:17" x14ac:dyDescent="0.35">
      <c r="A90" s="1" t="s">
        <v>367</v>
      </c>
      <c r="B90" s="2" t="s">
        <v>213</v>
      </c>
      <c r="C90" s="3">
        <v>44562</v>
      </c>
      <c r="D90" s="3">
        <v>44569</v>
      </c>
      <c r="E90" s="3" t="str">
        <f>TEXT(Travel_details_dataset3[[#This Row],[Start date]],"mmm")</f>
        <v>Jan</v>
      </c>
      <c r="F90" s="1">
        <v>8</v>
      </c>
      <c r="G90" s="1" t="str">
        <f>IF(Travel_details_dataset3[[#This Row],[Duration (days)]] &lt;7,"Short","Long")</f>
        <v>Long</v>
      </c>
      <c r="H90" s="2" t="s">
        <v>214</v>
      </c>
      <c r="I90" s="1">
        <v>24</v>
      </c>
      <c r="J90" s="1" t="str">
        <f>IF(Travel_details_dataset3[[#This Row],[Age]]&lt;25,"Youth","Adult")</f>
        <v>Youth</v>
      </c>
      <c r="K90" s="2" t="s">
        <v>15</v>
      </c>
      <c r="L90" s="2" t="s">
        <v>52</v>
      </c>
      <c r="M90" s="2" t="s">
        <v>9</v>
      </c>
      <c r="N90" s="5">
        <v>1000</v>
      </c>
      <c r="O90" s="2" t="s">
        <v>80</v>
      </c>
      <c r="P90" s="2">
        <v>800</v>
      </c>
      <c r="Q90" s="4">
        <f>ABS(N90+P90)</f>
        <v>1800</v>
      </c>
    </row>
    <row r="91" spans="1:17" x14ac:dyDescent="0.35">
      <c r="A91" s="1" t="s">
        <v>368</v>
      </c>
      <c r="B91" s="2" t="s">
        <v>106</v>
      </c>
      <c r="C91" s="3">
        <v>44606</v>
      </c>
      <c r="D91" s="3">
        <v>44612</v>
      </c>
      <c r="E91" s="3" t="str">
        <f>TEXT(Travel_details_dataset3[[#This Row],[Start date]],"mmm")</f>
        <v>Feb</v>
      </c>
      <c r="F91" s="1">
        <v>7</v>
      </c>
      <c r="G91" s="1" t="str">
        <f>IF(Travel_details_dataset3[[#This Row],[Duration (days)]] &lt;7,"Short","Long")</f>
        <v>Long</v>
      </c>
      <c r="H91" s="2" t="s">
        <v>215</v>
      </c>
      <c r="I91" s="1">
        <v>26</v>
      </c>
      <c r="J91" s="1" t="str">
        <f>IF(Travel_details_dataset3[[#This Row],[Age]]&lt;25,"Youth","Adult")</f>
        <v>Adult</v>
      </c>
      <c r="K91" s="2" t="s">
        <v>7</v>
      </c>
      <c r="L91" s="2" t="s">
        <v>32</v>
      </c>
      <c r="M91" s="2" t="s">
        <v>33</v>
      </c>
      <c r="N91" s="5">
        <v>400</v>
      </c>
      <c r="O91" s="2" t="s">
        <v>34</v>
      </c>
      <c r="P91" s="2">
        <v>100</v>
      </c>
      <c r="Q91" s="4">
        <f>ABS(N91+P91)</f>
        <v>500</v>
      </c>
    </row>
    <row r="92" spans="1:17" x14ac:dyDescent="0.35">
      <c r="A92" s="1" t="s">
        <v>369</v>
      </c>
      <c r="B92" s="2" t="s">
        <v>102</v>
      </c>
      <c r="C92" s="3">
        <v>44630</v>
      </c>
      <c r="D92" s="3">
        <v>44640</v>
      </c>
      <c r="E92" s="3" t="str">
        <f>TEXT(Travel_details_dataset3[[#This Row],[Start date]],"mmm")</f>
        <v>Mar</v>
      </c>
      <c r="F92" s="1">
        <v>11</v>
      </c>
      <c r="G92" s="1" t="str">
        <f>IF(Travel_details_dataset3[[#This Row],[Duration (days)]] &lt;7,"Short","Long")</f>
        <v>Long</v>
      </c>
      <c r="H92" s="2" t="s">
        <v>216</v>
      </c>
      <c r="I92" s="1">
        <v>18</v>
      </c>
      <c r="J92" s="1" t="str">
        <f>IF(Travel_details_dataset3[[#This Row],[Age]]&lt;25,"Youth","Adult")</f>
        <v>Youth</v>
      </c>
      <c r="K92" s="2" t="s">
        <v>15</v>
      </c>
      <c r="L92" s="2" t="s">
        <v>104</v>
      </c>
      <c r="M92" s="2" t="s">
        <v>42</v>
      </c>
      <c r="N92" s="5">
        <v>200</v>
      </c>
      <c r="O92" s="2" t="s">
        <v>80</v>
      </c>
      <c r="P92" s="2">
        <v>350</v>
      </c>
      <c r="Q92" s="4">
        <f>ABS(N92+P92)</f>
        <v>550</v>
      </c>
    </row>
    <row r="93" spans="1:17" x14ac:dyDescent="0.35">
      <c r="A93" s="1" t="s">
        <v>370</v>
      </c>
      <c r="B93" s="2" t="s">
        <v>82</v>
      </c>
      <c r="C93" s="3">
        <v>44666</v>
      </c>
      <c r="D93" s="3">
        <v>44676</v>
      </c>
      <c r="E93" s="3" t="str">
        <f>TEXT(Travel_details_dataset3[[#This Row],[Start date]],"mmm")</f>
        <v>Apr</v>
      </c>
      <c r="F93" s="1">
        <v>11</v>
      </c>
      <c r="G93" s="1" t="str">
        <f>IF(Travel_details_dataset3[[#This Row],[Duration (days)]] &lt;7,"Short","Long")</f>
        <v>Long</v>
      </c>
      <c r="H93" s="2" t="s">
        <v>217</v>
      </c>
      <c r="I93" s="1">
        <v>18</v>
      </c>
      <c r="J93" s="1" t="str">
        <f>IF(Travel_details_dataset3[[#This Row],[Age]]&lt;25,"Youth","Adult")</f>
        <v>Youth</v>
      </c>
      <c r="K93" s="2" t="s">
        <v>7</v>
      </c>
      <c r="L93" s="2" t="s">
        <v>218</v>
      </c>
      <c r="M93" s="2" t="s">
        <v>23</v>
      </c>
      <c r="N93" s="5">
        <v>1500</v>
      </c>
      <c r="O93" s="2" t="s">
        <v>125</v>
      </c>
      <c r="P93" s="2">
        <v>300</v>
      </c>
      <c r="Q93" s="4">
        <f>ABS(N93+P93)</f>
        <v>1800</v>
      </c>
    </row>
    <row r="94" spans="1:17" x14ac:dyDescent="0.35">
      <c r="A94" s="1" t="s">
        <v>371</v>
      </c>
      <c r="B94" s="2" t="s">
        <v>219</v>
      </c>
      <c r="C94" s="3">
        <v>44682</v>
      </c>
      <c r="D94" s="3">
        <v>44691</v>
      </c>
      <c r="E94" s="3" t="str">
        <f>TEXT(Travel_details_dataset3[[#This Row],[Start date]],"mmm")</f>
        <v>May</v>
      </c>
      <c r="F94" s="1">
        <v>10</v>
      </c>
      <c r="G94" s="1" t="str">
        <f>IF(Travel_details_dataset3[[#This Row],[Duration (days)]] &lt;7,"Short","Long")</f>
        <v>Long</v>
      </c>
      <c r="H94" s="2" t="s">
        <v>220</v>
      </c>
      <c r="I94" s="1">
        <v>18</v>
      </c>
      <c r="J94" s="1" t="str">
        <f>IF(Travel_details_dataset3[[#This Row],[Age]]&lt;25,"Youth","Adult")</f>
        <v>Youth</v>
      </c>
      <c r="K94" s="2" t="s">
        <v>15</v>
      </c>
      <c r="L94" s="2" t="s">
        <v>22</v>
      </c>
      <c r="M94" s="2" t="s">
        <v>9</v>
      </c>
      <c r="N94" s="5">
        <v>800</v>
      </c>
      <c r="O94" s="2" t="s">
        <v>34</v>
      </c>
      <c r="P94" s="2">
        <v>150</v>
      </c>
      <c r="Q94" s="4">
        <f>ABS(N94+P94)</f>
        <v>950</v>
      </c>
    </row>
    <row r="95" spans="1:17" x14ac:dyDescent="0.35">
      <c r="A95" s="1" t="s">
        <v>372</v>
      </c>
      <c r="B95" s="2" t="s">
        <v>78</v>
      </c>
      <c r="C95" s="3">
        <v>44727</v>
      </c>
      <c r="D95" s="3">
        <v>44732</v>
      </c>
      <c r="E95" s="3" t="str">
        <f>TEXT(Travel_details_dataset3[[#This Row],[Start date]],"mmm")</f>
        <v>Jun</v>
      </c>
      <c r="F95" s="1">
        <v>5</v>
      </c>
      <c r="G95" s="1" t="str">
        <f>IF(Travel_details_dataset3[[#This Row],[Duration (days)]] &lt;7,"Short","Long")</f>
        <v>Short</v>
      </c>
      <c r="H95" s="2" t="s">
        <v>6</v>
      </c>
      <c r="I95" s="1">
        <v>18</v>
      </c>
      <c r="J95" s="1" t="str">
        <f>IF(Travel_details_dataset3[[#This Row],[Age]]&lt;25,"Youth","Adult")</f>
        <v>Youth</v>
      </c>
      <c r="K95" s="2" t="s">
        <v>7</v>
      </c>
      <c r="L95" s="2" t="s">
        <v>221</v>
      </c>
      <c r="M95" s="2" t="s">
        <v>9</v>
      </c>
      <c r="N95" s="5" t="s">
        <v>109</v>
      </c>
      <c r="O95" s="2" t="s">
        <v>80</v>
      </c>
      <c r="P95" s="2" t="s">
        <v>93</v>
      </c>
      <c r="Q95" s="4">
        <f>ABS(N95+P95)</f>
        <v>1300</v>
      </c>
    </row>
    <row r="96" spans="1:17" x14ac:dyDescent="0.35">
      <c r="A96" s="1" t="s">
        <v>373</v>
      </c>
      <c r="B96" s="2" t="s">
        <v>90</v>
      </c>
      <c r="C96" s="3">
        <v>44805</v>
      </c>
      <c r="D96" s="3">
        <v>44814</v>
      </c>
      <c r="E96" s="3" t="str">
        <f>TEXT(Travel_details_dataset3[[#This Row],[Start date]],"mmm")</f>
        <v>Sep</v>
      </c>
      <c r="F96" s="1">
        <v>9</v>
      </c>
      <c r="G96" s="1" t="str">
        <f>IF(Travel_details_dataset3[[#This Row],[Duration (days)]] &lt;7,"Short","Long")</f>
        <v>Long</v>
      </c>
      <c r="H96" s="2" t="s">
        <v>222</v>
      </c>
      <c r="I96" s="1">
        <v>18</v>
      </c>
      <c r="J96" s="1" t="str">
        <f>IF(Travel_details_dataset3[[#This Row],[Age]]&lt;25,"Youth","Adult")</f>
        <v>Youth</v>
      </c>
      <c r="K96" s="2" t="s">
        <v>15</v>
      </c>
      <c r="L96" s="2" t="s">
        <v>144</v>
      </c>
      <c r="M96" s="2" t="s">
        <v>33</v>
      </c>
      <c r="N96" s="5" t="s">
        <v>81</v>
      </c>
      <c r="O96" s="2" t="s">
        <v>34</v>
      </c>
      <c r="P96" s="2" t="s">
        <v>122</v>
      </c>
      <c r="Q96" s="4">
        <f>ABS(N96+P96)</f>
        <v>600</v>
      </c>
    </row>
    <row r="97" spans="1:17" x14ac:dyDescent="0.35">
      <c r="A97" s="1" t="s">
        <v>374</v>
      </c>
      <c r="B97" s="2" t="s">
        <v>99</v>
      </c>
      <c r="C97" s="3">
        <v>44888</v>
      </c>
      <c r="D97" s="3">
        <v>44897</v>
      </c>
      <c r="E97" s="3" t="str">
        <f>TEXT(Travel_details_dataset3[[#This Row],[Start date]],"mmm")</f>
        <v>Nov</v>
      </c>
      <c r="F97" s="1">
        <v>9</v>
      </c>
      <c r="G97" s="1" t="str">
        <f>IF(Travel_details_dataset3[[#This Row],[Duration (days)]] &lt;7,"Short","Long")</f>
        <v>Long</v>
      </c>
      <c r="H97" s="2" t="s">
        <v>21</v>
      </c>
      <c r="I97" s="1">
        <v>18</v>
      </c>
      <c r="J97" s="1" t="str">
        <f>IF(Travel_details_dataset3[[#This Row],[Age]]&lt;25,"Youth","Adult")</f>
        <v>Youth</v>
      </c>
      <c r="K97" s="2" t="s">
        <v>7</v>
      </c>
      <c r="L97" s="2" t="s">
        <v>223</v>
      </c>
      <c r="M97" s="2" t="s">
        <v>42</v>
      </c>
      <c r="N97" s="5" t="s">
        <v>122</v>
      </c>
      <c r="O97" s="2" t="s">
        <v>80</v>
      </c>
      <c r="P97" s="2" t="s">
        <v>88</v>
      </c>
      <c r="Q97" s="4">
        <f>ABS(N97+P97)</f>
        <v>1400</v>
      </c>
    </row>
    <row r="98" spans="1:17" x14ac:dyDescent="0.35">
      <c r="A98" s="1" t="s">
        <v>375</v>
      </c>
      <c r="B98" s="2" t="s">
        <v>86</v>
      </c>
      <c r="C98" s="3">
        <v>44971</v>
      </c>
      <c r="D98" s="3">
        <v>44976</v>
      </c>
      <c r="E98" s="3" t="str">
        <f>TEXT(Travel_details_dataset3[[#This Row],[Start date]],"mmm")</f>
        <v>Feb</v>
      </c>
      <c r="F98" s="1">
        <v>5</v>
      </c>
      <c r="G98" s="1" t="str">
        <f>IF(Travel_details_dataset3[[#This Row],[Duration (days)]] &lt;7,"Short","Long")</f>
        <v>Short</v>
      </c>
      <c r="H98" s="2" t="s">
        <v>194</v>
      </c>
      <c r="I98" s="1">
        <v>18</v>
      </c>
      <c r="J98" s="1" t="str">
        <f>IF(Travel_details_dataset3[[#This Row],[Age]]&lt;25,"Youth","Adult")</f>
        <v>Youth</v>
      </c>
      <c r="K98" s="2" t="s">
        <v>15</v>
      </c>
      <c r="L98" s="2" t="s">
        <v>224</v>
      </c>
      <c r="M98" s="2" t="s">
        <v>9</v>
      </c>
      <c r="N98" s="5" t="s">
        <v>96</v>
      </c>
      <c r="O98" s="2" t="s">
        <v>80</v>
      </c>
      <c r="P98" s="2" t="s">
        <v>85</v>
      </c>
      <c r="Q98" s="4">
        <f>ABS(N98+P98)</f>
        <v>1300</v>
      </c>
    </row>
    <row r="99" spans="1:17" x14ac:dyDescent="0.35">
      <c r="A99" s="1" t="s">
        <v>376</v>
      </c>
      <c r="B99" s="2" t="s">
        <v>94</v>
      </c>
      <c r="C99" s="3">
        <v>45054</v>
      </c>
      <c r="D99" s="3">
        <v>45060</v>
      </c>
      <c r="E99" s="3" t="str">
        <f>TEXT(Travel_details_dataset3[[#This Row],[Start date]],"mmm")</f>
        <v>May</v>
      </c>
      <c r="F99" s="1">
        <v>6</v>
      </c>
      <c r="G99" s="1" t="str">
        <f>IF(Travel_details_dataset3[[#This Row],[Duration (days)]] &lt;7,"Short","Long")</f>
        <v>Short</v>
      </c>
      <c r="H99" s="2" t="s">
        <v>225</v>
      </c>
      <c r="I99" s="1">
        <v>18</v>
      </c>
      <c r="J99" s="1" t="str">
        <f>IF(Travel_details_dataset3[[#This Row],[Age]]&lt;25,"Youth","Adult")</f>
        <v>Youth</v>
      </c>
      <c r="K99" s="2" t="s">
        <v>7</v>
      </c>
      <c r="L99" s="2" t="s">
        <v>226</v>
      </c>
      <c r="M99" s="2" t="s">
        <v>33</v>
      </c>
      <c r="N99" s="5" t="s">
        <v>93</v>
      </c>
      <c r="O99" s="2" t="s">
        <v>125</v>
      </c>
      <c r="P99" s="2" t="s">
        <v>126</v>
      </c>
      <c r="Q99" s="4">
        <f>ABS(N99+P99)</f>
        <v>1100</v>
      </c>
    </row>
    <row r="100" spans="1:17" x14ac:dyDescent="0.35">
      <c r="A100" s="1" t="s">
        <v>377</v>
      </c>
      <c r="B100" s="2" t="s">
        <v>102</v>
      </c>
      <c r="C100" s="3">
        <v>45158</v>
      </c>
      <c r="D100" s="3">
        <v>45165</v>
      </c>
      <c r="E100" s="3" t="str">
        <f>TEXT(Travel_details_dataset3[[#This Row],[Start date]],"mmm")</f>
        <v>Aug</v>
      </c>
      <c r="F100" s="1">
        <v>7</v>
      </c>
      <c r="G100" s="1" t="str">
        <f>IF(Travel_details_dataset3[[#This Row],[Duration (days)]] &lt;7,"Short","Long")</f>
        <v>Long</v>
      </c>
      <c r="H100" s="2" t="s">
        <v>227</v>
      </c>
      <c r="I100" s="1">
        <v>18</v>
      </c>
      <c r="J100" s="1" t="str">
        <f>IF(Travel_details_dataset3[[#This Row],[Age]]&lt;25,"Youth","Adult")</f>
        <v>Youth</v>
      </c>
      <c r="K100" s="2" t="s">
        <v>15</v>
      </c>
      <c r="L100" s="2" t="s">
        <v>228</v>
      </c>
      <c r="M100" s="2" t="s">
        <v>9</v>
      </c>
      <c r="N100" s="5" t="s">
        <v>85</v>
      </c>
      <c r="O100" s="2" t="s">
        <v>80</v>
      </c>
      <c r="P100" s="2" t="s">
        <v>79</v>
      </c>
      <c r="Q100" s="4">
        <f>ABS(N100+P100)</f>
        <v>1600</v>
      </c>
    </row>
    <row r="101" spans="1:17" x14ac:dyDescent="0.35">
      <c r="A101" s="1" t="s">
        <v>378</v>
      </c>
      <c r="B101" s="2" t="s">
        <v>106</v>
      </c>
      <c r="C101" s="3">
        <v>45242</v>
      </c>
      <c r="D101" s="3">
        <v>45250</v>
      </c>
      <c r="E101" s="3" t="str">
        <f>TEXT(Travel_details_dataset3[[#This Row],[Start date]],"mmm")</f>
        <v>Nov</v>
      </c>
      <c r="F101" s="1">
        <v>8</v>
      </c>
      <c r="G101" s="1" t="str">
        <f>IF(Travel_details_dataset3[[#This Row],[Duration (days)]] &lt;7,"Short","Long")</f>
        <v>Long</v>
      </c>
      <c r="H101" s="2" t="s">
        <v>229</v>
      </c>
      <c r="I101" s="1">
        <v>18</v>
      </c>
      <c r="J101" s="1" t="str">
        <f>IF(Travel_details_dataset3[[#This Row],[Age]]&lt;25,"Youth","Adult")</f>
        <v>Youth</v>
      </c>
      <c r="K101" s="2" t="s">
        <v>7</v>
      </c>
      <c r="L101" s="2" t="s">
        <v>118</v>
      </c>
      <c r="M101" s="2" t="s">
        <v>42</v>
      </c>
      <c r="N101" s="5" t="s">
        <v>126</v>
      </c>
      <c r="O101" s="2" t="s">
        <v>34</v>
      </c>
      <c r="P101" s="2" t="s">
        <v>98</v>
      </c>
      <c r="Q101" s="4">
        <f>ABS(N101+P101)</f>
        <v>400</v>
      </c>
    </row>
    <row r="102" spans="1:17" x14ac:dyDescent="0.35">
      <c r="A102" s="1" t="s">
        <v>379</v>
      </c>
      <c r="B102" s="2" t="s">
        <v>183</v>
      </c>
      <c r="C102" s="3">
        <v>45297</v>
      </c>
      <c r="D102" s="3">
        <v>45305</v>
      </c>
      <c r="E102" s="3" t="str">
        <f>TEXT(Travel_details_dataset3[[#This Row],[Start date]],"mmm")</f>
        <v>Jan</v>
      </c>
      <c r="F102" s="1">
        <v>8</v>
      </c>
      <c r="G102" s="1" t="str">
        <f>IF(Travel_details_dataset3[[#This Row],[Duration (days)]] &lt;7,"Short","Long")</f>
        <v>Long</v>
      </c>
      <c r="H102" s="2" t="s">
        <v>116</v>
      </c>
      <c r="I102" s="1">
        <v>18</v>
      </c>
      <c r="J102" s="1" t="str">
        <f>IF(Travel_details_dataset3[[#This Row],[Age]]&lt;25,"Youth","Adult")</f>
        <v>Youth</v>
      </c>
      <c r="K102" s="2" t="s">
        <v>15</v>
      </c>
      <c r="L102" s="2" t="s">
        <v>142</v>
      </c>
      <c r="M102" s="2" t="s">
        <v>33</v>
      </c>
      <c r="N102" s="5" t="s">
        <v>109</v>
      </c>
      <c r="O102" s="2" t="s">
        <v>80</v>
      </c>
      <c r="P102" s="2" t="s">
        <v>84</v>
      </c>
      <c r="Q102" s="4">
        <f>ABS(N102+P102)</f>
        <v>2000</v>
      </c>
    </row>
    <row r="103" spans="1:17" x14ac:dyDescent="0.35">
      <c r="A103" s="1" t="s">
        <v>380</v>
      </c>
      <c r="B103" s="2" t="s">
        <v>230</v>
      </c>
      <c r="C103" s="3">
        <v>45385</v>
      </c>
      <c r="D103" s="3">
        <v>45392</v>
      </c>
      <c r="E103" s="3" t="str">
        <f>TEXT(Travel_details_dataset3[[#This Row],[Start date]],"mmm")</f>
        <v>Apr</v>
      </c>
      <c r="F103" s="1">
        <v>7</v>
      </c>
      <c r="G103" s="1" t="str">
        <f>IF(Travel_details_dataset3[[#This Row],[Duration (days)]] &lt;7,"Short","Long")</f>
        <v>Long</v>
      </c>
      <c r="H103" s="2" t="s">
        <v>231</v>
      </c>
      <c r="I103" s="1">
        <v>33</v>
      </c>
      <c r="J103" s="1" t="str">
        <f>IF(Travel_details_dataset3[[#This Row],[Age]]&lt;25,"Youth","Adult")</f>
        <v>Adult</v>
      </c>
      <c r="K103" s="2" t="s">
        <v>7</v>
      </c>
      <c r="L103" s="2" t="s">
        <v>129</v>
      </c>
      <c r="M103" s="2" t="s">
        <v>9</v>
      </c>
      <c r="N103" s="5" t="s">
        <v>79</v>
      </c>
      <c r="O103" s="2" t="s">
        <v>125</v>
      </c>
      <c r="P103" s="2" t="s">
        <v>81</v>
      </c>
      <c r="Q103" s="4">
        <f>ABS(N103+P103)</f>
        <v>1300</v>
      </c>
    </row>
    <row r="104" spans="1:17" x14ac:dyDescent="0.35">
      <c r="A104" s="1" t="s">
        <v>381</v>
      </c>
      <c r="B104" s="2" t="s">
        <v>82</v>
      </c>
      <c r="C104" s="3">
        <v>45495</v>
      </c>
      <c r="D104" s="3">
        <v>45501</v>
      </c>
      <c r="E104" s="3" t="str">
        <f>TEXT(Travel_details_dataset3[[#This Row],[Start date]],"mmm")</f>
        <v>Jul</v>
      </c>
      <c r="F104" s="1">
        <v>6</v>
      </c>
      <c r="G104" s="1" t="str">
        <f>IF(Travel_details_dataset3[[#This Row],[Duration (days)]] &lt;7,"Short","Long")</f>
        <v>Short</v>
      </c>
      <c r="H104" s="2" t="s">
        <v>232</v>
      </c>
      <c r="I104" s="1">
        <v>29</v>
      </c>
      <c r="J104" s="1" t="str">
        <f>IF(Travel_details_dataset3[[#This Row],[Age]]&lt;25,"Youth","Adult")</f>
        <v>Adult</v>
      </c>
      <c r="K104" s="2" t="s">
        <v>15</v>
      </c>
      <c r="L104" s="2" t="s">
        <v>223</v>
      </c>
      <c r="M104" s="2" t="s">
        <v>23</v>
      </c>
      <c r="N104" s="5" t="s">
        <v>88</v>
      </c>
      <c r="O104" s="2" t="s">
        <v>80</v>
      </c>
      <c r="P104" s="2" t="s">
        <v>101</v>
      </c>
      <c r="Q104" s="4">
        <f>ABS(N104+P104)</f>
        <v>2200</v>
      </c>
    </row>
    <row r="105" spans="1:17" x14ac:dyDescent="0.35">
      <c r="A105" s="1" t="s">
        <v>382</v>
      </c>
      <c r="B105" s="2" t="s">
        <v>233</v>
      </c>
      <c r="C105" s="3">
        <v>45575</v>
      </c>
      <c r="D105" s="3">
        <v>45582</v>
      </c>
      <c r="E105" s="3" t="str">
        <f>TEXT(Travel_details_dataset3[[#This Row],[Start date]],"mmm")</f>
        <v>Oct</v>
      </c>
      <c r="F105" s="1">
        <v>7</v>
      </c>
      <c r="G105" s="1" t="str">
        <f>IF(Travel_details_dataset3[[#This Row],[Duration (days)]] &lt;7,"Short","Long")</f>
        <v>Long</v>
      </c>
      <c r="H105" s="2" t="s">
        <v>234</v>
      </c>
      <c r="I105" s="1">
        <v>41</v>
      </c>
      <c r="J105" s="1" t="str">
        <f>IF(Travel_details_dataset3[[#This Row],[Age]]&lt;25,"Youth","Adult")</f>
        <v>Adult</v>
      </c>
      <c r="K105" s="2" t="s">
        <v>7</v>
      </c>
      <c r="L105" s="2" t="s">
        <v>235</v>
      </c>
      <c r="M105" s="2" t="s">
        <v>9</v>
      </c>
      <c r="N105" s="5" t="s">
        <v>96</v>
      </c>
      <c r="O105" s="2" t="s">
        <v>34</v>
      </c>
      <c r="P105" s="2" t="s">
        <v>89</v>
      </c>
      <c r="Q105" s="4">
        <f>ABS(N105+P105)</f>
        <v>750</v>
      </c>
    </row>
    <row r="106" spans="1:17" x14ac:dyDescent="0.35">
      <c r="A106" s="1" t="s">
        <v>383</v>
      </c>
      <c r="B106" s="2" t="s">
        <v>78</v>
      </c>
      <c r="C106" s="3">
        <v>44696</v>
      </c>
      <c r="D106" s="3">
        <v>44701</v>
      </c>
      <c r="E106" s="3" t="str">
        <f>TEXT(Travel_details_dataset3[[#This Row],[Start date]],"mmm")</f>
        <v>May</v>
      </c>
      <c r="F106" s="1">
        <v>5</v>
      </c>
      <c r="G106" s="1" t="str">
        <f>IF(Travel_details_dataset3[[#This Row],[Duration (days)]] &lt;7,"Short","Long")</f>
        <v>Short</v>
      </c>
      <c r="H106" s="2" t="s">
        <v>6</v>
      </c>
      <c r="I106" s="1">
        <v>35</v>
      </c>
      <c r="J106" s="1" t="str">
        <f>IF(Travel_details_dataset3[[#This Row],[Age]]&lt;25,"Youth","Adult")</f>
        <v>Adult</v>
      </c>
      <c r="K106" s="2" t="s">
        <v>7</v>
      </c>
      <c r="L106" s="2" t="s">
        <v>221</v>
      </c>
      <c r="M106" s="2" t="s">
        <v>9</v>
      </c>
      <c r="N106" s="5" t="s">
        <v>24</v>
      </c>
      <c r="O106" s="2" t="s">
        <v>80</v>
      </c>
      <c r="P106" s="2" t="s">
        <v>18</v>
      </c>
      <c r="Q106" s="4">
        <f>ABS(N106+P106)</f>
        <v>1800</v>
      </c>
    </row>
    <row r="107" spans="1:17" x14ac:dyDescent="0.35">
      <c r="A107" s="1" t="s">
        <v>384</v>
      </c>
      <c r="B107" s="2" t="s">
        <v>90</v>
      </c>
      <c r="C107" s="3">
        <v>44805</v>
      </c>
      <c r="D107" s="3">
        <v>44814</v>
      </c>
      <c r="E107" s="3" t="str">
        <f>TEXT(Travel_details_dataset3[[#This Row],[Start date]],"mmm")</f>
        <v>Sep</v>
      </c>
      <c r="F107" s="1">
        <v>9</v>
      </c>
      <c r="G107" s="1" t="str">
        <f>IF(Travel_details_dataset3[[#This Row],[Duration (days)]] &lt;7,"Short","Long")</f>
        <v>Long</v>
      </c>
      <c r="H107" s="2" t="s">
        <v>196</v>
      </c>
      <c r="I107" s="1">
        <v>28</v>
      </c>
      <c r="J107" s="1" t="str">
        <f>IF(Travel_details_dataset3[[#This Row],[Age]]&lt;25,"Youth","Adult")</f>
        <v>Adult</v>
      </c>
      <c r="K107" s="2" t="s">
        <v>15</v>
      </c>
      <c r="L107" s="2" t="s">
        <v>223</v>
      </c>
      <c r="M107" s="2" t="s">
        <v>33</v>
      </c>
      <c r="N107" s="5" t="s">
        <v>18</v>
      </c>
      <c r="O107" s="2" t="s">
        <v>34</v>
      </c>
      <c r="P107" s="2" t="s">
        <v>19</v>
      </c>
      <c r="Q107" s="4">
        <f>ABS(N107+P107)</f>
        <v>1300</v>
      </c>
    </row>
    <row r="108" spans="1:17" x14ac:dyDescent="0.35">
      <c r="A108" s="1" t="s">
        <v>385</v>
      </c>
      <c r="B108" s="2" t="s">
        <v>94</v>
      </c>
      <c r="C108" s="3">
        <v>44732</v>
      </c>
      <c r="D108" s="3">
        <v>44737</v>
      </c>
      <c r="E108" s="3" t="str">
        <f>TEXT(Travel_details_dataset3[[#This Row],[Start date]],"mmm")</f>
        <v>Jun</v>
      </c>
      <c r="F108" s="1">
        <v>5</v>
      </c>
      <c r="G108" s="1" t="str">
        <f>IF(Travel_details_dataset3[[#This Row],[Duration (days)]] &lt;7,"Short","Long")</f>
        <v>Short</v>
      </c>
      <c r="H108" s="2" t="s">
        <v>225</v>
      </c>
      <c r="I108" s="1">
        <v>42</v>
      </c>
      <c r="J108" s="1" t="str">
        <f>IF(Travel_details_dataset3[[#This Row],[Age]]&lt;25,"Youth","Adult")</f>
        <v>Adult</v>
      </c>
      <c r="K108" s="2" t="s">
        <v>7</v>
      </c>
      <c r="L108" s="2" t="s">
        <v>236</v>
      </c>
      <c r="M108" s="2" t="s">
        <v>9</v>
      </c>
      <c r="N108" s="5" t="s">
        <v>10</v>
      </c>
      <c r="O108" s="2" t="s">
        <v>125</v>
      </c>
      <c r="P108" s="2" t="s">
        <v>35</v>
      </c>
      <c r="Q108" s="4">
        <f>ABS(N108+P108)</f>
        <v>1400</v>
      </c>
    </row>
    <row r="109" spans="1:17" x14ac:dyDescent="0.35">
      <c r="A109" s="1" t="s">
        <v>386</v>
      </c>
      <c r="B109" s="2" t="s">
        <v>82</v>
      </c>
      <c r="C109" s="3">
        <v>44785</v>
      </c>
      <c r="D109" s="3">
        <v>44793</v>
      </c>
      <c r="E109" s="3" t="str">
        <f>TEXT(Travel_details_dataset3[[#This Row],[Start date]],"mmm")</f>
        <v>Aug</v>
      </c>
      <c r="F109" s="1">
        <v>8</v>
      </c>
      <c r="G109" s="1" t="str">
        <f>IF(Travel_details_dataset3[[#This Row],[Duration (days)]] &lt;7,"Short","Long")</f>
        <v>Long</v>
      </c>
      <c r="H109" s="2" t="s">
        <v>237</v>
      </c>
      <c r="I109" s="1">
        <v>30</v>
      </c>
      <c r="J109" s="1" t="str">
        <f>IF(Travel_details_dataset3[[#This Row],[Age]]&lt;25,"Youth","Adult")</f>
        <v>Adult</v>
      </c>
      <c r="K109" s="2" t="s">
        <v>15</v>
      </c>
      <c r="L109" s="2" t="s">
        <v>228</v>
      </c>
      <c r="M109" s="2" t="s">
        <v>17</v>
      </c>
      <c r="N109" s="5" t="s">
        <v>38</v>
      </c>
      <c r="O109" s="2" t="s">
        <v>80</v>
      </c>
      <c r="P109" s="2" t="s">
        <v>10</v>
      </c>
      <c r="Q109" s="4">
        <f>ABS(N109+P109)</f>
        <v>2700</v>
      </c>
    </row>
    <row r="110" spans="1:17" x14ac:dyDescent="0.35">
      <c r="A110" s="1" t="s">
        <v>387</v>
      </c>
      <c r="B110" s="2" t="s">
        <v>99</v>
      </c>
      <c r="C110" s="3">
        <v>44743</v>
      </c>
      <c r="D110" s="3">
        <v>44752</v>
      </c>
      <c r="E110" s="3" t="str">
        <f>TEXT(Travel_details_dataset3[[#This Row],[Start date]],"mmm")</f>
        <v>Jul</v>
      </c>
      <c r="F110" s="1">
        <v>9</v>
      </c>
      <c r="G110" s="1" t="str">
        <f>IF(Travel_details_dataset3[[#This Row],[Duration (days)]] &lt;7,"Short","Long")</f>
        <v>Long</v>
      </c>
      <c r="H110" s="2" t="s">
        <v>113</v>
      </c>
      <c r="I110" s="1">
        <v>26</v>
      </c>
      <c r="J110" s="1" t="str">
        <f>IF(Travel_details_dataset3[[#This Row],[Age]]&lt;25,"Youth","Adult")</f>
        <v>Adult</v>
      </c>
      <c r="K110" s="2" t="s">
        <v>7</v>
      </c>
      <c r="L110" s="2" t="s">
        <v>144</v>
      </c>
      <c r="M110" s="2" t="s">
        <v>42</v>
      </c>
      <c r="N110" s="5" t="s">
        <v>182</v>
      </c>
      <c r="O110" s="2" t="s">
        <v>80</v>
      </c>
      <c r="P110" s="2" t="s">
        <v>46</v>
      </c>
      <c r="Q110" s="4">
        <f>ABS(N110+P110)</f>
        <v>1200</v>
      </c>
    </row>
    <row r="111" spans="1:17" x14ac:dyDescent="0.35">
      <c r="A111" s="1" t="s">
        <v>388</v>
      </c>
      <c r="B111" s="2" t="s">
        <v>86</v>
      </c>
      <c r="C111" s="3">
        <v>44722</v>
      </c>
      <c r="D111" s="3">
        <v>44727</v>
      </c>
      <c r="E111" s="3" t="str">
        <f>TEXT(Travel_details_dataset3[[#This Row],[Start date]],"mmm")</f>
        <v>Jun</v>
      </c>
      <c r="F111" s="1">
        <v>5</v>
      </c>
      <c r="G111" s="1" t="str">
        <f>IF(Travel_details_dataset3[[#This Row],[Duration (days)]] &lt;7,"Short","Long")</f>
        <v>Short</v>
      </c>
      <c r="H111" s="2" t="s">
        <v>238</v>
      </c>
      <c r="I111" s="1">
        <v>38</v>
      </c>
      <c r="J111" s="1" t="str">
        <f>IF(Travel_details_dataset3[[#This Row],[Age]]&lt;25,"Youth","Adult")</f>
        <v>Adult</v>
      </c>
      <c r="K111" s="2" t="s">
        <v>15</v>
      </c>
      <c r="L111" s="2" t="s">
        <v>239</v>
      </c>
      <c r="M111" s="2" t="s">
        <v>9</v>
      </c>
      <c r="N111" s="5" t="s">
        <v>46</v>
      </c>
      <c r="O111" s="2" t="s">
        <v>34</v>
      </c>
      <c r="P111" s="2" t="s">
        <v>77</v>
      </c>
      <c r="Q111" s="4">
        <f>ABS(N111+P111)</f>
        <v>1050</v>
      </c>
    </row>
    <row r="112" spans="1:17" x14ac:dyDescent="0.35">
      <c r="A112" s="1" t="s">
        <v>389</v>
      </c>
      <c r="B112" s="2" t="s">
        <v>240</v>
      </c>
      <c r="C112" s="3">
        <v>44809</v>
      </c>
      <c r="D112" s="3">
        <v>44816</v>
      </c>
      <c r="E112" s="3" t="str">
        <f>TEXT(Travel_details_dataset3[[#This Row],[Start date]],"mmm")</f>
        <v>Sep</v>
      </c>
      <c r="F112" s="1">
        <v>7</v>
      </c>
      <c r="G112" s="1" t="str">
        <f>IF(Travel_details_dataset3[[#This Row],[Duration (days)]] &lt;7,"Short","Long")</f>
        <v>Long</v>
      </c>
      <c r="H112" s="2" t="s">
        <v>241</v>
      </c>
      <c r="I112" s="1">
        <v>45</v>
      </c>
      <c r="J112" s="1" t="str">
        <f>IF(Travel_details_dataset3[[#This Row],[Age]]&lt;25,"Youth","Adult")</f>
        <v>Adult</v>
      </c>
      <c r="K112" s="2" t="s">
        <v>7</v>
      </c>
      <c r="L112" s="2" t="s">
        <v>242</v>
      </c>
      <c r="M112" s="2" t="s">
        <v>23</v>
      </c>
      <c r="N112" s="5" t="s">
        <v>29</v>
      </c>
      <c r="O112" s="2" t="s">
        <v>80</v>
      </c>
      <c r="P112" s="2" t="s">
        <v>25</v>
      </c>
      <c r="Q112" s="4">
        <f>ABS(N112+P112)</f>
        <v>2700</v>
      </c>
    </row>
    <row r="113" spans="1:17" x14ac:dyDescent="0.35">
      <c r="A113" s="1" t="s">
        <v>390</v>
      </c>
      <c r="B113" s="2" t="s">
        <v>102</v>
      </c>
      <c r="C113" s="3">
        <v>44682</v>
      </c>
      <c r="D113" s="3">
        <v>44689</v>
      </c>
      <c r="E113" s="3" t="str">
        <f>TEXT(Travel_details_dataset3[[#This Row],[Start date]],"mmm")</f>
        <v>May</v>
      </c>
      <c r="F113" s="1">
        <v>7</v>
      </c>
      <c r="G113" s="1" t="str">
        <f>IF(Travel_details_dataset3[[#This Row],[Duration (days)]] &lt;7,"Short","Long")</f>
        <v>Long</v>
      </c>
      <c r="H113" s="2" t="s">
        <v>243</v>
      </c>
      <c r="I113" s="1">
        <v>19</v>
      </c>
      <c r="J113" s="1" t="str">
        <f>IF(Travel_details_dataset3[[#This Row],[Age]]&lt;25,"Youth","Adult")</f>
        <v>Youth</v>
      </c>
      <c r="K113" s="2" t="s">
        <v>15</v>
      </c>
      <c r="L113" s="2" t="s">
        <v>138</v>
      </c>
      <c r="M113" s="2" t="s">
        <v>9</v>
      </c>
      <c r="N113" s="5" t="s">
        <v>162</v>
      </c>
      <c r="O113" s="2" t="s">
        <v>34</v>
      </c>
      <c r="P113" s="2" t="s">
        <v>244</v>
      </c>
      <c r="Q113" s="4">
        <f>ABS(N113+P113)</f>
        <v>1350</v>
      </c>
    </row>
    <row r="114" spans="1:17" x14ac:dyDescent="0.35">
      <c r="A114" s="1" t="s">
        <v>391</v>
      </c>
      <c r="B114" s="2" t="s">
        <v>245</v>
      </c>
      <c r="C114" s="3">
        <v>44757</v>
      </c>
      <c r="D114" s="3">
        <v>44764</v>
      </c>
      <c r="E114" s="3" t="str">
        <f>TEXT(Travel_details_dataset3[[#This Row],[Start date]],"mmm")</f>
        <v>Jul</v>
      </c>
      <c r="F114" s="1">
        <v>7</v>
      </c>
      <c r="G114" s="1" t="str">
        <f>IF(Travel_details_dataset3[[#This Row],[Duration (days)]] &lt;7,"Short","Long")</f>
        <v>Long</v>
      </c>
      <c r="H114" s="2" t="s">
        <v>246</v>
      </c>
      <c r="I114" s="1">
        <v>27</v>
      </c>
      <c r="J114" s="1" t="str">
        <f>IF(Travel_details_dataset3[[#This Row],[Age]]&lt;25,"Youth","Adult")</f>
        <v>Adult</v>
      </c>
      <c r="K114" s="2" t="s">
        <v>7</v>
      </c>
      <c r="L114" s="2" t="s">
        <v>132</v>
      </c>
      <c r="M114" s="2" t="s">
        <v>33</v>
      </c>
      <c r="N114" s="5" t="s">
        <v>24</v>
      </c>
      <c r="O114" s="2" t="s">
        <v>247</v>
      </c>
      <c r="P114" s="2" t="s">
        <v>77</v>
      </c>
      <c r="Q114" s="4">
        <f>ABS(N114+P114)</f>
        <v>1150</v>
      </c>
    </row>
    <row r="115" spans="1:17" x14ac:dyDescent="0.35">
      <c r="A115" s="1" t="s">
        <v>392</v>
      </c>
      <c r="B115" s="2" t="s">
        <v>213</v>
      </c>
      <c r="C115" s="3">
        <v>44798</v>
      </c>
      <c r="D115" s="3">
        <v>44803</v>
      </c>
      <c r="E115" s="3" t="str">
        <f>TEXT(Travel_details_dataset3[[#This Row],[Start date]],"mmm")</f>
        <v>Aug</v>
      </c>
      <c r="F115" s="1">
        <v>5</v>
      </c>
      <c r="G115" s="1" t="str">
        <f>IF(Travel_details_dataset3[[#This Row],[Duration (days)]] &lt;7,"Short","Long")</f>
        <v>Short</v>
      </c>
      <c r="H115" s="2" t="s">
        <v>248</v>
      </c>
      <c r="I115" s="1">
        <v>29</v>
      </c>
      <c r="J115" s="1" t="str">
        <f>IF(Travel_details_dataset3[[#This Row],[Age]]&lt;25,"Youth","Adult")</f>
        <v>Adult</v>
      </c>
      <c r="K115" s="2" t="s">
        <v>15</v>
      </c>
      <c r="L115" s="2" t="s">
        <v>249</v>
      </c>
      <c r="M115" s="2" t="s">
        <v>9</v>
      </c>
      <c r="N115" s="5" t="s">
        <v>38</v>
      </c>
      <c r="O115" s="2" t="s">
        <v>125</v>
      </c>
      <c r="P115" s="2" t="s">
        <v>182</v>
      </c>
      <c r="Q115" s="4">
        <f>ABS(N115+P115)</f>
        <v>1800</v>
      </c>
    </row>
    <row r="116" spans="1:17" x14ac:dyDescent="0.35">
      <c r="A116" s="1" t="s">
        <v>393</v>
      </c>
      <c r="B116" s="2" t="s">
        <v>250</v>
      </c>
      <c r="C116" s="3">
        <v>44814</v>
      </c>
      <c r="D116" s="3">
        <v>44819</v>
      </c>
      <c r="E116" s="3" t="str">
        <f>TEXT(Travel_details_dataset3[[#This Row],[Start date]],"mmm")</f>
        <v>Sep</v>
      </c>
      <c r="F116" s="1">
        <v>5</v>
      </c>
      <c r="G116" s="1" t="str">
        <f>IF(Travel_details_dataset3[[#This Row],[Duration (days)]] &lt;7,"Short","Long")</f>
        <v>Short</v>
      </c>
      <c r="H116" s="2" t="s">
        <v>251</v>
      </c>
      <c r="I116" s="1">
        <v>33</v>
      </c>
      <c r="J116" s="1" t="str">
        <f>IF(Travel_details_dataset3[[#This Row],[Age]]&lt;25,"Youth","Adult")</f>
        <v>Adult</v>
      </c>
      <c r="K116" s="2" t="s">
        <v>7</v>
      </c>
      <c r="L116" s="2" t="s">
        <v>252</v>
      </c>
      <c r="M116" s="2" t="s">
        <v>42</v>
      </c>
      <c r="N116" s="5" t="s">
        <v>35</v>
      </c>
      <c r="O116" s="2" t="s">
        <v>80</v>
      </c>
      <c r="P116" s="2" t="s">
        <v>19</v>
      </c>
      <c r="Q116" s="4">
        <f>ABS(N116+P116)</f>
        <v>700</v>
      </c>
    </row>
    <row r="117" spans="1:17" x14ac:dyDescent="0.35">
      <c r="A117" s="1" t="s">
        <v>394</v>
      </c>
      <c r="B117" s="2" t="s">
        <v>30</v>
      </c>
      <c r="C117" s="3">
        <v>44597</v>
      </c>
      <c r="D117" s="3">
        <v>44606</v>
      </c>
      <c r="E117" s="3" t="str">
        <f>TEXT(Travel_details_dataset3[[#This Row],[Start date]],"mmm")</f>
        <v>Feb</v>
      </c>
      <c r="F117" s="1">
        <v>9</v>
      </c>
      <c r="G117" s="1" t="str">
        <f>IF(Travel_details_dataset3[[#This Row],[Duration (days)]] &lt;7,"Short","Long")</f>
        <v>Long</v>
      </c>
      <c r="H117" s="2" t="s">
        <v>119</v>
      </c>
      <c r="I117" s="1">
        <v>32</v>
      </c>
      <c r="J117" s="1" t="str">
        <f>IF(Travel_details_dataset3[[#This Row],[Age]]&lt;25,"Youth","Adult")</f>
        <v>Adult</v>
      </c>
      <c r="K117" s="2" t="s">
        <v>15</v>
      </c>
      <c r="L117" s="2" t="s">
        <v>8</v>
      </c>
      <c r="M117" s="2" t="s">
        <v>9</v>
      </c>
      <c r="N117" s="5" t="s">
        <v>24</v>
      </c>
      <c r="O117" s="2" t="s">
        <v>80</v>
      </c>
      <c r="P117" s="2" t="s">
        <v>25</v>
      </c>
      <c r="Q117" s="4">
        <f>ABS(N117+P117)</f>
        <v>1700</v>
      </c>
    </row>
    <row r="118" spans="1:17" x14ac:dyDescent="0.35">
      <c r="A118" s="1" t="s">
        <v>395</v>
      </c>
      <c r="B118" s="2" t="s">
        <v>36</v>
      </c>
      <c r="C118" s="3">
        <v>44635</v>
      </c>
      <c r="D118" s="3">
        <v>44642</v>
      </c>
      <c r="E118" s="3" t="str">
        <f>TEXT(Travel_details_dataset3[[#This Row],[Start date]],"mmm")</f>
        <v>Mar</v>
      </c>
      <c r="F118" s="1">
        <v>7</v>
      </c>
      <c r="G118" s="1" t="str">
        <f>IF(Travel_details_dataset3[[#This Row],[Duration (days)]] &lt;7,"Short","Long")</f>
        <v>Long</v>
      </c>
      <c r="H118" s="2" t="s">
        <v>121</v>
      </c>
      <c r="I118" s="1">
        <v>47</v>
      </c>
      <c r="J118" s="1" t="str">
        <f>IF(Travel_details_dataset3[[#This Row],[Age]]&lt;25,"Youth","Adult")</f>
        <v>Adult</v>
      </c>
      <c r="K118" s="2" t="s">
        <v>7</v>
      </c>
      <c r="L118" s="2" t="s">
        <v>16</v>
      </c>
      <c r="M118" s="2" t="s">
        <v>9</v>
      </c>
      <c r="N118" s="5" t="s">
        <v>10</v>
      </c>
      <c r="O118" s="2" t="s">
        <v>34</v>
      </c>
      <c r="P118" s="2" t="s">
        <v>19</v>
      </c>
      <c r="Q118" s="4">
        <f>ABS(N118+P118)</f>
        <v>1700</v>
      </c>
    </row>
    <row r="119" spans="1:17" x14ac:dyDescent="0.35">
      <c r="A119" s="1" t="s">
        <v>396</v>
      </c>
      <c r="B119" s="2" t="s">
        <v>206</v>
      </c>
      <c r="C119" s="3">
        <v>44682</v>
      </c>
      <c r="D119" s="3">
        <v>44693</v>
      </c>
      <c r="E119" s="3" t="str">
        <f>TEXT(Travel_details_dataset3[[#This Row],[Start date]],"mmm")</f>
        <v>May</v>
      </c>
      <c r="F119" s="1">
        <v>11</v>
      </c>
      <c r="G119" s="1" t="str">
        <f>IF(Travel_details_dataset3[[#This Row],[Duration (days)]] &lt;7,"Short","Long")</f>
        <v>Long</v>
      </c>
      <c r="H119" s="2" t="s">
        <v>253</v>
      </c>
      <c r="I119" s="1">
        <v>26</v>
      </c>
      <c r="J119" s="1" t="str">
        <f>IF(Travel_details_dataset3[[#This Row],[Age]]&lt;25,"Youth","Adult")</f>
        <v>Adult</v>
      </c>
      <c r="K119" s="2" t="s">
        <v>15</v>
      </c>
      <c r="L119" s="2" t="s">
        <v>63</v>
      </c>
      <c r="M119" s="2" t="s">
        <v>33</v>
      </c>
      <c r="N119" s="5" t="s">
        <v>18</v>
      </c>
      <c r="O119" s="2" t="s">
        <v>80</v>
      </c>
      <c r="P119" s="2" t="s">
        <v>24</v>
      </c>
      <c r="Q119" s="4">
        <f>ABS(N119+P119)</f>
        <v>1800</v>
      </c>
    </row>
    <row r="120" spans="1:17" x14ac:dyDescent="0.35">
      <c r="A120" s="1" t="s">
        <v>397</v>
      </c>
      <c r="B120" s="2" t="s">
        <v>179</v>
      </c>
      <c r="C120" s="3">
        <v>44722</v>
      </c>
      <c r="D120" s="3">
        <v>44729</v>
      </c>
      <c r="E120" s="3" t="str">
        <f>TEXT(Travel_details_dataset3[[#This Row],[Start date]],"mmm")</f>
        <v>Jun</v>
      </c>
      <c r="F120" s="1">
        <v>7</v>
      </c>
      <c r="G120" s="1" t="str">
        <f>IF(Travel_details_dataset3[[#This Row],[Duration (days)]] &lt;7,"Short","Long")</f>
        <v>Long</v>
      </c>
      <c r="H120" s="2" t="s">
        <v>21</v>
      </c>
      <c r="I120" s="1">
        <v>38</v>
      </c>
      <c r="J120" s="1" t="str">
        <f>IF(Travel_details_dataset3[[#This Row],[Age]]&lt;25,"Youth","Adult")</f>
        <v>Adult</v>
      </c>
      <c r="K120" s="2" t="s">
        <v>7</v>
      </c>
      <c r="L120" s="2" t="s">
        <v>22</v>
      </c>
      <c r="M120" s="2" t="s">
        <v>9</v>
      </c>
      <c r="N120" s="5" t="s">
        <v>46</v>
      </c>
      <c r="O120" s="2" t="s">
        <v>34</v>
      </c>
      <c r="P120" s="2" t="s">
        <v>73</v>
      </c>
      <c r="Q120" s="4">
        <f>ABS(N120+P120)</f>
        <v>1300</v>
      </c>
    </row>
    <row r="121" spans="1:17" x14ac:dyDescent="0.35">
      <c r="A121" s="1" t="s">
        <v>398</v>
      </c>
      <c r="B121" s="2" t="s">
        <v>20</v>
      </c>
      <c r="C121" s="3">
        <v>44762</v>
      </c>
      <c r="D121" s="3">
        <v>44772</v>
      </c>
      <c r="E121" s="3" t="str">
        <f>TEXT(Travel_details_dataset3[[#This Row],[Start date]],"mmm")</f>
        <v>Jul</v>
      </c>
      <c r="F121" s="1">
        <v>10</v>
      </c>
      <c r="G121" s="1" t="str">
        <f>IF(Travel_details_dataset3[[#This Row],[Duration (days)]] &lt;7,"Short","Long")</f>
        <v>Long</v>
      </c>
      <c r="H121" s="2" t="s">
        <v>254</v>
      </c>
      <c r="I121" s="1">
        <v>29</v>
      </c>
      <c r="J121" s="1" t="str">
        <f>IF(Travel_details_dataset3[[#This Row],[Age]]&lt;25,"Youth","Adult")</f>
        <v>Adult</v>
      </c>
      <c r="K121" s="2" t="s">
        <v>15</v>
      </c>
      <c r="L121" s="2" t="s">
        <v>22</v>
      </c>
      <c r="M121" s="2" t="s">
        <v>42</v>
      </c>
      <c r="N121" s="5" t="s">
        <v>19</v>
      </c>
      <c r="O121" s="2" t="s">
        <v>80</v>
      </c>
      <c r="P121" s="2" t="s">
        <v>18</v>
      </c>
      <c r="Q121" s="4">
        <f>ABS(N121+P121)</f>
        <v>1300</v>
      </c>
    </row>
    <row r="122" spans="1:17" x14ac:dyDescent="0.35">
      <c r="A122" s="1" t="s">
        <v>399</v>
      </c>
      <c r="B122" s="2" t="s">
        <v>54</v>
      </c>
      <c r="C122" s="3">
        <v>44781</v>
      </c>
      <c r="D122" s="3">
        <v>44789</v>
      </c>
      <c r="E122" s="3" t="str">
        <f>TEXT(Travel_details_dataset3[[#This Row],[Start date]],"mmm")</f>
        <v>Aug</v>
      </c>
      <c r="F122" s="1">
        <v>8</v>
      </c>
      <c r="G122" s="1" t="str">
        <f>IF(Travel_details_dataset3[[#This Row],[Duration (days)]] &lt;7,"Short","Long")</f>
        <v>Long</v>
      </c>
      <c r="H122" s="2" t="s">
        <v>255</v>
      </c>
      <c r="I122" s="1">
        <v>41</v>
      </c>
      <c r="J122" s="1" t="str">
        <f>IF(Travel_details_dataset3[[#This Row],[Age]]&lt;25,"Youth","Adult")</f>
        <v>Adult</v>
      </c>
      <c r="K122" s="2" t="s">
        <v>7</v>
      </c>
      <c r="L122" s="2" t="s">
        <v>8</v>
      </c>
      <c r="M122" s="2" t="s">
        <v>9</v>
      </c>
      <c r="N122" s="5" t="s">
        <v>193</v>
      </c>
      <c r="O122" s="2" t="s">
        <v>80</v>
      </c>
      <c r="P122" s="2" t="s">
        <v>12</v>
      </c>
      <c r="Q122" s="4">
        <f>ABS(N122+P122)</f>
        <v>1900</v>
      </c>
    </row>
    <row r="123" spans="1:17" x14ac:dyDescent="0.35">
      <c r="A123" s="1" t="s">
        <v>400</v>
      </c>
      <c r="B123" s="2" t="s">
        <v>256</v>
      </c>
      <c r="C123" s="3">
        <v>44824</v>
      </c>
      <c r="D123" s="3">
        <v>44834</v>
      </c>
      <c r="E123" s="3" t="str">
        <f>TEXT(Travel_details_dataset3[[#This Row],[Start date]],"mmm")</f>
        <v>Sep</v>
      </c>
      <c r="F123" s="1">
        <v>10</v>
      </c>
      <c r="G123" s="1" t="str">
        <f>IF(Travel_details_dataset3[[#This Row],[Duration (days)]] &lt;7,"Short","Long")</f>
        <v>Long</v>
      </c>
      <c r="H123" s="2" t="s">
        <v>257</v>
      </c>
      <c r="I123" s="1">
        <v>35</v>
      </c>
      <c r="J123" s="1" t="str">
        <f>IF(Travel_details_dataset3[[#This Row],[Age]]&lt;25,"Youth","Adult")</f>
        <v>Adult</v>
      </c>
      <c r="K123" s="2" t="s">
        <v>15</v>
      </c>
      <c r="L123" s="2" t="s">
        <v>22</v>
      </c>
      <c r="M123" s="2" t="s">
        <v>33</v>
      </c>
      <c r="N123" s="5" t="s">
        <v>25</v>
      </c>
      <c r="O123" s="2" t="s">
        <v>80</v>
      </c>
      <c r="P123" s="2" t="s">
        <v>46</v>
      </c>
      <c r="Q123" s="4">
        <f>ABS(N123+P123)</f>
        <v>1600</v>
      </c>
    </row>
    <row r="124" spans="1:17" x14ac:dyDescent="0.35">
      <c r="A124" s="1" t="s">
        <v>401</v>
      </c>
      <c r="B124" s="2" t="s">
        <v>30</v>
      </c>
      <c r="C124" s="3">
        <v>44839</v>
      </c>
      <c r="D124" s="3">
        <v>44847</v>
      </c>
      <c r="E124" s="3" t="str">
        <f>TEXT(Travel_details_dataset3[[#This Row],[Start date]],"mmm")</f>
        <v>Oct</v>
      </c>
      <c r="F124" s="1">
        <v>8</v>
      </c>
      <c r="G124" s="1" t="str">
        <f>IF(Travel_details_dataset3[[#This Row],[Duration (days)]] &lt;7,"Short","Long")</f>
        <v>Long</v>
      </c>
      <c r="H124" s="2" t="s">
        <v>258</v>
      </c>
      <c r="I124" s="1">
        <v>24</v>
      </c>
      <c r="J124" s="1" t="str">
        <f>IF(Travel_details_dataset3[[#This Row],[Age]]&lt;25,"Youth","Adult")</f>
        <v>Youth</v>
      </c>
      <c r="K124" s="2" t="s">
        <v>7</v>
      </c>
      <c r="L124" s="2" t="s">
        <v>22</v>
      </c>
      <c r="M124" s="2" t="s">
        <v>9</v>
      </c>
      <c r="N124" s="5" t="s">
        <v>10</v>
      </c>
      <c r="O124" s="2" t="s">
        <v>80</v>
      </c>
      <c r="P124" s="2" t="s">
        <v>25</v>
      </c>
      <c r="Q124" s="4">
        <f>ABS(N124+P124)</f>
        <v>1900</v>
      </c>
    </row>
    <row r="125" spans="1:17" x14ac:dyDescent="0.35">
      <c r="A125" s="1" t="s">
        <v>402</v>
      </c>
      <c r="B125" s="2" t="s">
        <v>206</v>
      </c>
      <c r="C125" s="3">
        <v>44876</v>
      </c>
      <c r="D125" s="3">
        <v>44886</v>
      </c>
      <c r="E125" s="3" t="str">
        <f>TEXT(Travel_details_dataset3[[#This Row],[Start date]],"mmm")</f>
        <v>Nov</v>
      </c>
      <c r="F125" s="1">
        <v>10</v>
      </c>
      <c r="G125" s="1" t="str">
        <f>IF(Travel_details_dataset3[[#This Row],[Duration (days)]] &lt;7,"Short","Long")</f>
        <v>Long</v>
      </c>
      <c r="H125" s="2" t="s">
        <v>259</v>
      </c>
      <c r="I125" s="1">
        <v>30</v>
      </c>
      <c r="J125" s="1" t="str">
        <f>IF(Travel_details_dataset3[[#This Row],[Age]]&lt;25,"Youth","Adult")</f>
        <v>Adult</v>
      </c>
      <c r="K125" s="2" t="s">
        <v>15</v>
      </c>
      <c r="L125" s="2" t="s">
        <v>63</v>
      </c>
      <c r="M125" s="2" t="s">
        <v>33</v>
      </c>
      <c r="N125" s="5" t="s">
        <v>46</v>
      </c>
      <c r="O125" s="2" t="s">
        <v>80</v>
      </c>
      <c r="P125" s="2" t="s">
        <v>24</v>
      </c>
      <c r="Q125" s="4">
        <f>ABS(N125+P125)</f>
        <v>1900</v>
      </c>
    </row>
    <row r="126" spans="1:17" x14ac:dyDescent="0.35">
      <c r="A126" s="1" t="s">
        <v>403</v>
      </c>
      <c r="B126" s="2" t="s">
        <v>36</v>
      </c>
      <c r="C126" s="3">
        <v>44919</v>
      </c>
      <c r="D126" s="3">
        <v>44927</v>
      </c>
      <c r="E126" s="3" t="str">
        <f>TEXT(Travel_details_dataset3[[#This Row],[Start date]],"mmm")</f>
        <v>Dec</v>
      </c>
      <c r="F126" s="1">
        <v>8</v>
      </c>
      <c r="G126" s="1" t="str">
        <f>IF(Travel_details_dataset3[[#This Row],[Duration (days)]] &lt;7,"Short","Long")</f>
        <v>Long</v>
      </c>
      <c r="H126" s="2" t="s">
        <v>260</v>
      </c>
      <c r="I126" s="1">
        <v>28</v>
      </c>
      <c r="J126" s="1" t="str">
        <f>IF(Travel_details_dataset3[[#This Row],[Age]]&lt;25,"Youth","Adult")</f>
        <v>Adult</v>
      </c>
      <c r="K126" s="2" t="s">
        <v>7</v>
      </c>
      <c r="L126" s="2" t="s">
        <v>8</v>
      </c>
      <c r="M126" s="2" t="s">
        <v>42</v>
      </c>
      <c r="N126" s="5" t="s">
        <v>73</v>
      </c>
      <c r="O126" s="2" t="s">
        <v>80</v>
      </c>
      <c r="P126" s="2" t="s">
        <v>25</v>
      </c>
      <c r="Q126" s="4">
        <f>ABS(N126+P126)</f>
        <v>1100</v>
      </c>
    </row>
    <row r="127" spans="1:17" x14ac:dyDescent="0.35">
      <c r="A127" s="1" t="s">
        <v>404</v>
      </c>
      <c r="B127" s="2" t="s">
        <v>20</v>
      </c>
      <c r="C127" s="3">
        <v>44967</v>
      </c>
      <c r="D127" s="3">
        <v>44975</v>
      </c>
      <c r="E127" s="3" t="str">
        <f>TEXT(Travel_details_dataset3[[#This Row],[Start date]],"mmm")</f>
        <v>Feb</v>
      </c>
      <c r="F127" s="1">
        <v>8</v>
      </c>
      <c r="G127" s="1" t="str">
        <f>IF(Travel_details_dataset3[[#This Row],[Duration (days)]] &lt;7,"Short","Long")</f>
        <v>Long</v>
      </c>
      <c r="H127" s="2" t="s">
        <v>261</v>
      </c>
      <c r="I127" s="1">
        <v>33</v>
      </c>
      <c r="J127" s="1" t="str">
        <f>IF(Travel_details_dataset3[[#This Row],[Age]]&lt;25,"Youth","Adult")</f>
        <v>Adult</v>
      </c>
      <c r="K127" s="2" t="s">
        <v>15</v>
      </c>
      <c r="L127" s="2" t="s">
        <v>16</v>
      </c>
      <c r="M127" s="2" t="s">
        <v>9</v>
      </c>
      <c r="N127" s="5" t="s">
        <v>18</v>
      </c>
      <c r="O127" s="2" t="s">
        <v>80</v>
      </c>
      <c r="P127" s="2" t="s">
        <v>18</v>
      </c>
      <c r="Q127" s="4">
        <f>ABS(N127+P127)</f>
        <v>1600</v>
      </c>
    </row>
    <row r="128" spans="1:17" x14ac:dyDescent="0.35">
      <c r="A128" s="1" t="s">
        <v>405</v>
      </c>
      <c r="B128" s="2" t="s">
        <v>36</v>
      </c>
      <c r="C128" s="3">
        <v>45047</v>
      </c>
      <c r="D128" s="3">
        <v>45053</v>
      </c>
      <c r="E128" s="3" t="str">
        <f>TEXT(Travel_details_dataset3[[#This Row],[Start date]],"mmm")</f>
        <v>May</v>
      </c>
      <c r="F128" s="1">
        <v>6</v>
      </c>
      <c r="G128" s="1" t="str">
        <f>IF(Travel_details_dataset3[[#This Row],[Duration (days)]] &lt;7,"Short","Long")</f>
        <v>Short</v>
      </c>
      <c r="H128" s="2" t="s">
        <v>262</v>
      </c>
      <c r="I128" s="1">
        <v>35</v>
      </c>
      <c r="J128" s="1" t="str">
        <f>IF(Travel_details_dataset3[[#This Row],[Age]]&lt;25,"Youth","Adult")</f>
        <v>Adult</v>
      </c>
      <c r="K128" s="2" t="s">
        <v>7</v>
      </c>
      <c r="L128" s="2" t="s">
        <v>8</v>
      </c>
      <c r="M128" s="2" t="s">
        <v>9</v>
      </c>
      <c r="N128" s="5" t="s">
        <v>263</v>
      </c>
      <c r="O128" s="2" t="s">
        <v>264</v>
      </c>
      <c r="P128" s="2" t="s">
        <v>53</v>
      </c>
      <c r="Q128" s="4">
        <f>ABS(N128+P128)</f>
        <v>7500</v>
      </c>
    </row>
    <row r="129" spans="1:17" x14ac:dyDescent="0.35">
      <c r="A129" s="1" t="s">
        <v>406</v>
      </c>
      <c r="B129" s="2" t="s">
        <v>30</v>
      </c>
      <c r="C129" s="3">
        <v>45061</v>
      </c>
      <c r="D129" s="3">
        <v>45068</v>
      </c>
      <c r="E129" s="3" t="str">
        <f>TEXT(Travel_details_dataset3[[#This Row],[Start date]],"mmm")</f>
        <v>May</v>
      </c>
      <c r="F129" s="1">
        <v>7</v>
      </c>
      <c r="G129" s="1" t="str">
        <f>IF(Travel_details_dataset3[[#This Row],[Duration (days)]] &lt;7,"Short","Long")</f>
        <v>Long</v>
      </c>
      <c r="H129" s="2" t="s">
        <v>265</v>
      </c>
      <c r="I129" s="1">
        <v>28</v>
      </c>
      <c r="J129" s="1" t="str">
        <f>IF(Travel_details_dataset3[[#This Row],[Age]]&lt;25,"Youth","Adult")</f>
        <v>Adult</v>
      </c>
      <c r="K129" s="2" t="s">
        <v>15</v>
      </c>
      <c r="L129" s="2" t="s">
        <v>28</v>
      </c>
      <c r="M129" s="2" t="s">
        <v>33</v>
      </c>
      <c r="N129" s="5" t="s">
        <v>266</v>
      </c>
      <c r="O129" s="2" t="s">
        <v>34</v>
      </c>
      <c r="P129" s="2" t="s">
        <v>38</v>
      </c>
      <c r="Q129" s="4">
        <f>ABS(N129+P129)</f>
        <v>8500</v>
      </c>
    </row>
    <row r="130" spans="1:17" x14ac:dyDescent="0.35">
      <c r="A130" s="1" t="s">
        <v>407</v>
      </c>
      <c r="B130" s="2" t="s">
        <v>267</v>
      </c>
      <c r="C130" s="3">
        <v>45078</v>
      </c>
      <c r="D130" s="3">
        <v>45087</v>
      </c>
      <c r="E130" s="3" t="str">
        <f>TEXT(Travel_details_dataset3[[#This Row],[Start date]],"mmm")</f>
        <v>Jun</v>
      </c>
      <c r="F130" s="1">
        <v>9</v>
      </c>
      <c r="G130" s="1" t="str">
        <f>IF(Travel_details_dataset3[[#This Row],[Duration (days)]] &lt;7,"Short","Long")</f>
        <v>Long</v>
      </c>
      <c r="H130" s="2" t="s">
        <v>268</v>
      </c>
      <c r="I130" s="1">
        <v>45</v>
      </c>
      <c r="J130" s="1" t="str">
        <f>IF(Travel_details_dataset3[[#This Row],[Age]]&lt;25,"Youth","Adult")</f>
        <v>Adult</v>
      </c>
      <c r="K130" s="2" t="s">
        <v>7</v>
      </c>
      <c r="L130" s="2" t="s">
        <v>201</v>
      </c>
      <c r="M130" s="2" t="s">
        <v>42</v>
      </c>
      <c r="N130" s="5" t="s">
        <v>64</v>
      </c>
      <c r="O130" s="2" t="s">
        <v>203</v>
      </c>
      <c r="P130" s="2" t="s">
        <v>29</v>
      </c>
      <c r="Q130" s="4">
        <f>ABS(N130+P130)</f>
        <v>5000</v>
      </c>
    </row>
    <row r="131" spans="1:17" x14ac:dyDescent="0.35">
      <c r="A131" s="1" t="s">
        <v>408</v>
      </c>
      <c r="B131" s="2" t="s">
        <v>39</v>
      </c>
      <c r="C131" s="3">
        <v>45092</v>
      </c>
      <c r="D131" s="3">
        <v>45098</v>
      </c>
      <c r="E131" s="3" t="str">
        <f>TEXT(Travel_details_dataset3[[#This Row],[Start date]],"mmm")</f>
        <v>Jun</v>
      </c>
      <c r="F131" s="1">
        <v>6</v>
      </c>
      <c r="G131" s="1" t="str">
        <f>IF(Travel_details_dataset3[[#This Row],[Duration (days)]] &lt;7,"Short","Long")</f>
        <v>Short</v>
      </c>
      <c r="H131" s="2" t="s">
        <v>196</v>
      </c>
      <c r="I131" s="1">
        <v>31</v>
      </c>
      <c r="J131" s="1" t="str">
        <f>IF(Travel_details_dataset3[[#This Row],[Age]]&lt;25,"Youth","Adult")</f>
        <v>Adult</v>
      </c>
      <c r="K131" s="2" t="s">
        <v>15</v>
      </c>
      <c r="L131" s="2" t="s">
        <v>41</v>
      </c>
      <c r="M131" s="2" t="s">
        <v>9</v>
      </c>
      <c r="N131" s="5" t="s">
        <v>269</v>
      </c>
      <c r="O131" s="2" t="s">
        <v>264</v>
      </c>
      <c r="P131" s="2" t="s">
        <v>64</v>
      </c>
      <c r="Q131" s="4">
        <f>ABS(N131+P131)</f>
        <v>9000</v>
      </c>
    </row>
    <row r="132" spans="1:17" x14ac:dyDescent="0.35">
      <c r="A132" s="1" t="s">
        <v>409</v>
      </c>
      <c r="B132" s="2" t="s">
        <v>179</v>
      </c>
      <c r="C132" s="3">
        <v>45108</v>
      </c>
      <c r="D132" s="3">
        <v>45115</v>
      </c>
      <c r="E132" s="3" t="str">
        <f>TEXT(Travel_details_dataset3[[#This Row],[Start date]],"mmm")</f>
        <v>Jul</v>
      </c>
      <c r="F132" s="1">
        <v>7</v>
      </c>
      <c r="G132" s="1" t="str">
        <f>IF(Travel_details_dataset3[[#This Row],[Duration (days)]] &lt;7,"Short","Long")</f>
        <v>Long</v>
      </c>
      <c r="H132" s="2" t="s">
        <v>113</v>
      </c>
      <c r="I132" s="1">
        <v>42</v>
      </c>
      <c r="J132" s="1" t="str">
        <f>IF(Travel_details_dataset3[[#This Row],[Age]]&lt;25,"Youth","Adult")</f>
        <v>Adult</v>
      </c>
      <c r="K132" s="2" t="s">
        <v>7</v>
      </c>
      <c r="L132" s="2" t="s">
        <v>22</v>
      </c>
      <c r="M132" s="2" t="s">
        <v>33</v>
      </c>
      <c r="N132" s="5" t="s">
        <v>270</v>
      </c>
      <c r="O132" s="2" t="s">
        <v>34</v>
      </c>
      <c r="P132" s="2" t="s">
        <v>38</v>
      </c>
      <c r="Q132" s="4">
        <f>ABS(N132+P132)</f>
        <v>5500</v>
      </c>
    </row>
    <row r="133" spans="1:17" x14ac:dyDescent="0.35">
      <c r="A133" s="1" t="s">
        <v>410</v>
      </c>
      <c r="B133" s="2" t="s">
        <v>154</v>
      </c>
      <c r="C133" s="3">
        <v>45122</v>
      </c>
      <c r="D133" s="3">
        <v>45129</v>
      </c>
      <c r="E133" s="3" t="str">
        <f>TEXT(Travel_details_dataset3[[#This Row],[Start date]],"mmm")</f>
        <v>Jul</v>
      </c>
      <c r="F133" s="1">
        <v>7</v>
      </c>
      <c r="G133" s="1" t="str">
        <f>IF(Travel_details_dataset3[[#This Row],[Duration (days)]] &lt;7,"Short","Long")</f>
        <v>Long</v>
      </c>
      <c r="H133" s="2" t="s">
        <v>40</v>
      </c>
      <c r="I133" s="1">
        <v>27</v>
      </c>
      <c r="J133" s="1" t="str">
        <f>IF(Travel_details_dataset3[[#This Row],[Age]]&lt;25,"Youth","Adult")</f>
        <v>Adult</v>
      </c>
      <c r="K133" s="2" t="s">
        <v>15</v>
      </c>
      <c r="L133" s="2" t="s">
        <v>8</v>
      </c>
      <c r="M133" s="2" t="s">
        <v>9</v>
      </c>
      <c r="N133" s="5" t="s">
        <v>271</v>
      </c>
      <c r="O133" s="2" t="s">
        <v>264</v>
      </c>
      <c r="P133" s="2" t="s">
        <v>53</v>
      </c>
      <c r="Q133" s="4">
        <f>ABS(N133+P133)</f>
        <v>10500</v>
      </c>
    </row>
    <row r="134" spans="1:17" x14ac:dyDescent="0.35">
      <c r="A134" s="1" t="s">
        <v>411</v>
      </c>
      <c r="B134" s="2" t="s">
        <v>43</v>
      </c>
      <c r="C134" s="3">
        <v>45139</v>
      </c>
      <c r="D134" s="3">
        <v>45148</v>
      </c>
      <c r="E134" s="3" t="str">
        <f>TEXT(Travel_details_dataset3[[#This Row],[Start date]],"mmm")</f>
        <v>Aug</v>
      </c>
      <c r="F134" s="1">
        <v>9</v>
      </c>
      <c r="G134" s="1" t="str">
        <f>IF(Travel_details_dataset3[[#This Row],[Duration (days)]] &lt;7,"Short","Long")</f>
        <v>Long</v>
      </c>
      <c r="H134" s="2" t="s">
        <v>272</v>
      </c>
      <c r="I134" s="1">
        <v>37</v>
      </c>
      <c r="J134" s="1" t="str">
        <f>IF(Travel_details_dataset3[[#This Row],[Age]]&lt;25,"Youth","Adult")</f>
        <v>Adult</v>
      </c>
      <c r="K134" s="2" t="s">
        <v>7</v>
      </c>
      <c r="L134" s="2" t="s">
        <v>45</v>
      </c>
      <c r="M134" s="2" t="s">
        <v>42</v>
      </c>
      <c r="N134" s="5" t="s">
        <v>53</v>
      </c>
      <c r="O134" s="2" t="s">
        <v>203</v>
      </c>
      <c r="P134" s="2" t="s">
        <v>29</v>
      </c>
      <c r="Q134" s="4">
        <f>ABS(N134+P134)</f>
        <v>4500</v>
      </c>
    </row>
    <row r="135" spans="1:17" x14ac:dyDescent="0.35">
      <c r="A135" s="1" t="s">
        <v>412</v>
      </c>
      <c r="B135" s="2" t="s">
        <v>159</v>
      </c>
      <c r="C135" s="3">
        <v>45153</v>
      </c>
      <c r="D135" s="3">
        <v>45159</v>
      </c>
      <c r="E135" s="3" t="str">
        <f>TEXT(Travel_details_dataset3[[#This Row],[Start date]],"mmm")</f>
        <v>Aug</v>
      </c>
      <c r="F135" s="1">
        <v>6</v>
      </c>
      <c r="G135" s="1" t="str">
        <f>IF(Travel_details_dataset3[[#This Row],[Duration (days)]] &lt;7,"Short","Long")</f>
        <v>Short</v>
      </c>
      <c r="H135" s="2" t="s">
        <v>273</v>
      </c>
      <c r="I135" s="1">
        <v>29</v>
      </c>
      <c r="J135" s="1" t="str">
        <f>IF(Travel_details_dataset3[[#This Row],[Age]]&lt;25,"Youth","Adult")</f>
        <v>Adult</v>
      </c>
      <c r="K135" s="2" t="s">
        <v>15</v>
      </c>
      <c r="L135" s="2" t="s">
        <v>16</v>
      </c>
      <c r="M135" s="2" t="s">
        <v>9</v>
      </c>
      <c r="N135" s="5" t="s">
        <v>263</v>
      </c>
      <c r="O135" s="2" t="s">
        <v>264</v>
      </c>
      <c r="P135" s="2" t="s">
        <v>64</v>
      </c>
      <c r="Q135" s="4">
        <f>ABS(N135+P135)</f>
        <v>8000</v>
      </c>
    </row>
    <row r="136" spans="1:17" x14ac:dyDescent="0.35">
      <c r="A136" s="1" t="s">
        <v>413</v>
      </c>
      <c r="B136" s="2" t="s">
        <v>156</v>
      </c>
      <c r="C136" s="3">
        <v>45170</v>
      </c>
      <c r="D136" s="3">
        <v>45177</v>
      </c>
      <c r="E136" s="3" t="str">
        <f>TEXT(Travel_details_dataset3[[#This Row],[Start date]],"mmm")</f>
        <v>Sep</v>
      </c>
      <c r="F136" s="1">
        <v>7</v>
      </c>
      <c r="G136" s="1" t="str">
        <f>IF(Travel_details_dataset3[[#This Row],[Duration (days)]] &lt;7,"Short","Long")</f>
        <v>Long</v>
      </c>
      <c r="H136" s="2" t="s">
        <v>274</v>
      </c>
      <c r="I136" s="1">
        <v>34</v>
      </c>
      <c r="J136" s="1" t="str">
        <f>IF(Travel_details_dataset3[[#This Row],[Age]]&lt;25,"Youth","Adult")</f>
        <v>Adult</v>
      </c>
      <c r="K136" s="2" t="s">
        <v>7</v>
      </c>
      <c r="L136" s="2" t="s">
        <v>63</v>
      </c>
      <c r="M136" s="2" t="s">
        <v>42</v>
      </c>
      <c r="N136" s="5" t="s">
        <v>29</v>
      </c>
      <c r="O136" s="2" t="s">
        <v>34</v>
      </c>
      <c r="P136" s="2" t="s">
        <v>24</v>
      </c>
      <c r="Q136" s="4">
        <f>ABS(N136+P136)</f>
        <v>3000</v>
      </c>
    </row>
    <row r="137" spans="1:17" x14ac:dyDescent="0.35">
      <c r="A137" s="1" t="s">
        <v>414</v>
      </c>
      <c r="B137" s="2" t="s">
        <v>57</v>
      </c>
      <c r="C137" s="3">
        <v>45184</v>
      </c>
      <c r="D137" s="3">
        <v>45191</v>
      </c>
      <c r="E137" s="3" t="str">
        <f>TEXT(Travel_details_dataset3[[#This Row],[Start date]],"mmm")</f>
        <v>Sep</v>
      </c>
      <c r="F137" s="1">
        <v>7</v>
      </c>
      <c r="G137" s="1" t="str">
        <f>IF(Travel_details_dataset3[[#This Row],[Duration (days)]] &lt;7,"Short","Long")</f>
        <v>Long</v>
      </c>
      <c r="H137" s="2" t="s">
        <v>275</v>
      </c>
      <c r="I137" s="1">
        <v>25</v>
      </c>
      <c r="J137" s="1" t="str">
        <f>IF(Travel_details_dataset3[[#This Row],[Age]]&lt;25,"Youth","Adult")</f>
        <v>Adult</v>
      </c>
      <c r="K137" s="2" t="s">
        <v>15</v>
      </c>
      <c r="L137" s="2" t="s">
        <v>59</v>
      </c>
      <c r="M137" s="2" t="s">
        <v>33</v>
      </c>
      <c r="N137" s="5" t="s">
        <v>269</v>
      </c>
      <c r="O137" s="2" t="s">
        <v>264</v>
      </c>
      <c r="P137" s="2" t="s">
        <v>53</v>
      </c>
      <c r="Q137" s="4">
        <f>ABS(N137+P137)</f>
        <v>8500</v>
      </c>
    </row>
    <row r="138" spans="1:17" x14ac:dyDescent="0.35">
      <c r="A138" s="1" t="s">
        <v>415</v>
      </c>
      <c r="B138" s="2" t="s">
        <v>276</v>
      </c>
      <c r="C138" s="3">
        <v>45200</v>
      </c>
      <c r="D138" s="3">
        <v>45207</v>
      </c>
      <c r="E138" s="3" t="str">
        <f>TEXT(Travel_details_dataset3[[#This Row],[Start date]],"mmm")</f>
        <v>Oct</v>
      </c>
      <c r="F138" s="1">
        <v>7</v>
      </c>
      <c r="G138" s="1" t="str">
        <f>IF(Travel_details_dataset3[[#This Row],[Duration (days)]] &lt;7,"Short","Long")</f>
        <v>Long</v>
      </c>
      <c r="H138" s="2" t="s">
        <v>277</v>
      </c>
      <c r="I138" s="1">
        <v>39</v>
      </c>
      <c r="J138" s="1" t="str">
        <f>IF(Travel_details_dataset3[[#This Row],[Age]]&lt;25,"Youth","Adult")</f>
        <v>Adult</v>
      </c>
      <c r="K138" s="2" t="s">
        <v>7</v>
      </c>
      <c r="L138" s="2" t="s">
        <v>278</v>
      </c>
      <c r="M138" s="2" t="s">
        <v>9</v>
      </c>
      <c r="N138" s="5" t="s">
        <v>266</v>
      </c>
      <c r="O138" s="2" t="s">
        <v>34</v>
      </c>
      <c r="P138" s="2" t="s">
        <v>53</v>
      </c>
      <c r="Q138" s="4">
        <f>ABS(N138+P138)</f>
        <v>9500</v>
      </c>
    </row>
  </sheetData>
  <phoneticPr fontId="1" type="noConversion"/>
  <conditionalFormatting sqref="A2:A138">
    <cfRule type="duplicateValues" dxfId="5" priority="3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4A03B436D2F4DA53CFB40529B6EFA" ma:contentTypeVersion="4" ma:contentTypeDescription="Create a new document." ma:contentTypeScope="" ma:versionID="0a0e0b6a7a3a07b8621c91451c797d3a">
  <xsd:schema xmlns:xsd="http://www.w3.org/2001/XMLSchema" xmlns:xs="http://www.w3.org/2001/XMLSchema" xmlns:p="http://schemas.microsoft.com/office/2006/metadata/properties" xmlns:ns3="33f7fdd4-f3c3-4a0b-ac45-18b7c9fdf081" targetNamespace="http://schemas.microsoft.com/office/2006/metadata/properties" ma:root="true" ma:fieldsID="ef201dacadffda100d346ef4d96cc04b" ns3:_="">
    <xsd:import namespace="33f7fdd4-f3c3-4a0b-ac45-18b7c9fdf0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7fdd4-f3c3-4a0b-ac45-18b7c9fdf0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D2C34FF-64CA-45E0-BC67-0BEB79E93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f7fdd4-f3c3-4a0b-ac45-18b7c9fdf0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F6CD13-1188-4F99-B5E6-169E784C923A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33f7fdd4-f3c3-4a0b-ac45-18b7c9fdf08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2606C16-5DD5-4916-91DE-8DA1F45A858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3E35BB0-BF38-429C-92A8-16E14045B1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Dur Vs Dest Vs TC</vt:lpstr>
      <vt:lpstr>Master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Tewary</dc:creator>
  <cp:lastModifiedBy>Anshuman Tewary</cp:lastModifiedBy>
  <dcterms:created xsi:type="dcterms:W3CDTF">2026-01-30T18:07:20Z</dcterms:created>
  <dcterms:modified xsi:type="dcterms:W3CDTF">2026-02-04T14:02:02Z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0x0101000864A03B436D2F4DA53CFB40529B6EFA</vt:lpwstr>
  </property>
</Properties>
</file>